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tbas\Documents\0314analysis\0430summary\conventional_ml\"/>
    </mc:Choice>
  </mc:AlternateContent>
  <xr:revisionPtr revIDLastSave="0" documentId="13_ncr:1_{00E34E6F-F19A-46F3-A3BF-3BD4D66FCBFA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template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20" i="1"/>
  <c r="E21" i="1"/>
  <c r="E22" i="1"/>
  <c r="E23" i="1"/>
  <c r="E24" i="1"/>
  <c r="E39" i="1"/>
  <c r="E44" i="1"/>
  <c r="E46" i="1"/>
  <c r="E62" i="1"/>
  <c r="E63" i="1"/>
  <c r="E64" i="1"/>
  <c r="E65" i="1"/>
  <c r="E68" i="1"/>
  <c r="E84" i="1"/>
  <c r="E86" i="1"/>
  <c r="E87" i="1"/>
  <c r="E88" i="1"/>
  <c r="E89" i="1"/>
  <c r="E90" i="1"/>
  <c r="E93" i="1"/>
  <c r="E101" i="1"/>
  <c r="E102" i="1"/>
  <c r="E103" i="1"/>
  <c r="E108" i="1"/>
  <c r="E109" i="1"/>
  <c r="E110" i="1"/>
  <c r="E111" i="1"/>
  <c r="E112" i="1"/>
  <c r="E126" i="1"/>
  <c r="E127" i="1"/>
  <c r="E128" i="1"/>
  <c r="E132" i="1"/>
  <c r="E134" i="1"/>
  <c r="B3" i="1"/>
  <c r="C3" i="1" s="1"/>
  <c r="D3" i="1"/>
  <c r="B4" i="1"/>
  <c r="C4" i="1" s="1"/>
  <c r="D4" i="1"/>
  <c r="B5" i="1"/>
  <c r="C5" i="1" s="1"/>
  <c r="E5" i="1" s="1"/>
  <c r="D5" i="1"/>
  <c r="B6" i="1"/>
  <c r="D6" i="1"/>
  <c r="B7" i="1"/>
  <c r="C7" i="1" s="1"/>
  <c r="D7" i="1"/>
  <c r="B8" i="1"/>
  <c r="E8" i="1" s="1"/>
  <c r="C8" i="1"/>
  <c r="D8" i="1"/>
  <c r="B9" i="1"/>
  <c r="E9" i="1" s="1"/>
  <c r="C9" i="1"/>
  <c r="D9" i="1"/>
  <c r="B10" i="1"/>
  <c r="E10" i="1" s="1"/>
  <c r="C10" i="1"/>
  <c r="D10" i="1"/>
  <c r="B11" i="1"/>
  <c r="C11" i="1"/>
  <c r="D11" i="1"/>
  <c r="E11" i="1" s="1"/>
  <c r="B12" i="1"/>
  <c r="C12" i="1" s="1"/>
  <c r="D12" i="1"/>
  <c r="B13" i="1"/>
  <c r="C13" i="1" s="1"/>
  <c r="E13" i="1" s="1"/>
  <c r="D13" i="1"/>
  <c r="B14" i="1"/>
  <c r="C14" i="1" s="1"/>
  <c r="E14" i="1" s="1"/>
  <c r="D14" i="1"/>
  <c r="B15" i="1"/>
  <c r="C15" i="1"/>
  <c r="E15" i="1" s="1"/>
  <c r="D15" i="1"/>
  <c r="B16" i="1"/>
  <c r="E16" i="1" s="1"/>
  <c r="C16" i="1"/>
  <c r="D16" i="1"/>
  <c r="B17" i="1"/>
  <c r="E17" i="1" s="1"/>
  <c r="C17" i="1"/>
  <c r="D17" i="1"/>
  <c r="B18" i="1"/>
  <c r="C18" i="1" s="1"/>
  <c r="D18" i="1"/>
  <c r="B19" i="1"/>
  <c r="C19" i="1"/>
  <c r="D19" i="1"/>
  <c r="B20" i="1"/>
  <c r="C20" i="1" s="1"/>
  <c r="D20" i="1"/>
  <c r="B21" i="1"/>
  <c r="C21" i="1" s="1"/>
  <c r="D21" i="1"/>
  <c r="B22" i="1"/>
  <c r="C22" i="1"/>
  <c r="D22" i="1"/>
  <c r="B23" i="1"/>
  <c r="C23" i="1"/>
  <c r="D23" i="1"/>
  <c r="B24" i="1"/>
  <c r="C24" i="1"/>
  <c r="D24" i="1"/>
  <c r="B25" i="1"/>
  <c r="C25" i="1" s="1"/>
  <c r="D25" i="1"/>
  <c r="B26" i="1"/>
  <c r="E26" i="1" s="1"/>
  <c r="C26" i="1"/>
  <c r="D26" i="1"/>
  <c r="B27" i="1"/>
  <c r="C27" i="1" s="1"/>
  <c r="D27" i="1"/>
  <c r="B28" i="1"/>
  <c r="D28" i="1"/>
  <c r="B29" i="1"/>
  <c r="C29" i="1" s="1"/>
  <c r="D29" i="1"/>
  <c r="B30" i="1"/>
  <c r="E30" i="1" s="1"/>
  <c r="C30" i="1"/>
  <c r="D30" i="1"/>
  <c r="B31" i="1"/>
  <c r="E31" i="1" s="1"/>
  <c r="C31" i="1"/>
  <c r="D31" i="1"/>
  <c r="B32" i="1"/>
  <c r="E32" i="1" s="1"/>
  <c r="C32" i="1"/>
  <c r="D32" i="1"/>
  <c r="B33" i="1"/>
  <c r="E33" i="1" s="1"/>
  <c r="C33" i="1"/>
  <c r="D33" i="1"/>
  <c r="B34" i="1"/>
  <c r="C34" i="1" s="1"/>
  <c r="D34" i="1"/>
  <c r="B35" i="1"/>
  <c r="C35" i="1" s="1"/>
  <c r="D35" i="1"/>
  <c r="B36" i="1"/>
  <c r="C36" i="1" s="1"/>
  <c r="E36" i="1" s="1"/>
  <c r="D36" i="1"/>
  <c r="B37" i="1"/>
  <c r="C37" i="1" s="1"/>
  <c r="E37" i="1" s="1"/>
  <c r="D37" i="1"/>
  <c r="B38" i="1"/>
  <c r="C38" i="1" s="1"/>
  <c r="E38" i="1" s="1"/>
  <c r="D38" i="1"/>
  <c r="B39" i="1"/>
  <c r="C39" i="1"/>
  <c r="D39" i="1"/>
  <c r="B40" i="1"/>
  <c r="C40" i="1" s="1"/>
  <c r="D40" i="1"/>
  <c r="E40" i="1" s="1"/>
  <c r="B41" i="1"/>
  <c r="E41" i="1" s="1"/>
  <c r="C41" i="1"/>
  <c r="D41" i="1"/>
  <c r="B42" i="1"/>
  <c r="C42" i="1" s="1"/>
  <c r="D42" i="1"/>
  <c r="B43" i="1"/>
  <c r="C43" i="1" s="1"/>
  <c r="D43" i="1"/>
  <c r="B44" i="1"/>
  <c r="C44" i="1"/>
  <c r="D44" i="1"/>
  <c r="B45" i="1"/>
  <c r="C45" i="1" s="1"/>
  <c r="E45" i="1" s="1"/>
  <c r="D45" i="1"/>
  <c r="B46" i="1"/>
  <c r="C46" i="1"/>
  <c r="D46" i="1"/>
  <c r="B47" i="1"/>
  <c r="C47" i="1" s="1"/>
  <c r="D47" i="1"/>
  <c r="B48" i="1"/>
  <c r="E48" i="1" s="1"/>
  <c r="C48" i="1"/>
  <c r="D48" i="1"/>
  <c r="B49" i="1"/>
  <c r="E49" i="1" s="1"/>
  <c r="C49" i="1"/>
  <c r="D49" i="1"/>
  <c r="B50" i="1"/>
  <c r="E50" i="1" s="1"/>
  <c r="C50" i="1"/>
  <c r="D50" i="1"/>
  <c r="B51" i="1"/>
  <c r="C51" i="1" s="1"/>
  <c r="D51" i="1"/>
  <c r="B52" i="1"/>
  <c r="E52" i="1" s="1"/>
  <c r="C52" i="1"/>
  <c r="D52" i="1"/>
  <c r="B53" i="1"/>
  <c r="C53" i="1" s="1"/>
  <c r="D53" i="1"/>
  <c r="B54" i="1"/>
  <c r="E54" i="1" s="1"/>
  <c r="C54" i="1"/>
  <c r="D54" i="1"/>
  <c r="B55" i="1"/>
  <c r="E55" i="1" s="1"/>
  <c r="C55" i="1"/>
  <c r="D55" i="1"/>
  <c r="B56" i="1"/>
  <c r="C56" i="1" s="1"/>
  <c r="D56" i="1"/>
  <c r="B57" i="1"/>
  <c r="E57" i="1" s="1"/>
  <c r="C57" i="1"/>
  <c r="D57" i="1"/>
  <c r="B58" i="1"/>
  <c r="E58" i="1" s="1"/>
  <c r="C58" i="1"/>
  <c r="D58" i="1"/>
  <c r="B59" i="1"/>
  <c r="C59" i="1" s="1"/>
  <c r="D59" i="1"/>
  <c r="B60" i="1"/>
  <c r="C60" i="1" s="1"/>
  <c r="E60" i="1" s="1"/>
  <c r="D60" i="1"/>
  <c r="B61" i="1"/>
  <c r="C61" i="1" s="1"/>
  <c r="E61" i="1" s="1"/>
  <c r="D61" i="1"/>
  <c r="B62" i="1"/>
  <c r="C62" i="1" s="1"/>
  <c r="D62" i="1"/>
  <c r="B63" i="1"/>
  <c r="C63" i="1"/>
  <c r="D63" i="1"/>
  <c r="B64" i="1"/>
  <c r="C64" i="1" s="1"/>
  <c r="D64" i="1"/>
  <c r="B65" i="1"/>
  <c r="C65" i="1" s="1"/>
  <c r="D65" i="1"/>
  <c r="B66" i="1"/>
  <c r="C66" i="1"/>
  <c r="D66" i="1"/>
  <c r="E66" i="1" s="1"/>
  <c r="B67" i="1"/>
  <c r="E67" i="1" s="1"/>
  <c r="C67" i="1"/>
  <c r="D67" i="1"/>
  <c r="B68" i="1"/>
  <c r="C68" i="1"/>
  <c r="D68" i="1"/>
  <c r="B69" i="1"/>
  <c r="C69" i="1" s="1"/>
  <c r="D69" i="1"/>
  <c r="B70" i="1"/>
  <c r="D70" i="1"/>
  <c r="B71" i="1"/>
  <c r="C71" i="1"/>
  <c r="E71" i="1" s="1"/>
  <c r="D71" i="1"/>
  <c r="B72" i="1"/>
  <c r="E72" i="1" s="1"/>
  <c r="C72" i="1"/>
  <c r="D72" i="1"/>
  <c r="B73" i="1"/>
  <c r="C73" i="1" s="1"/>
  <c r="D73" i="1"/>
  <c r="B74" i="1"/>
  <c r="E74" i="1" s="1"/>
  <c r="C74" i="1"/>
  <c r="D74" i="1"/>
  <c r="B75" i="1"/>
  <c r="E75" i="1" s="1"/>
  <c r="C75" i="1"/>
  <c r="D75" i="1"/>
  <c r="B76" i="1"/>
  <c r="E76" i="1" s="1"/>
  <c r="C76" i="1"/>
  <c r="D76" i="1"/>
  <c r="B77" i="1"/>
  <c r="C77" i="1" s="1"/>
  <c r="D77" i="1"/>
  <c r="B78" i="1"/>
  <c r="C78" i="1" s="1"/>
  <c r="D78" i="1"/>
  <c r="B79" i="1"/>
  <c r="C79" i="1"/>
  <c r="E79" i="1" s="1"/>
  <c r="D79" i="1"/>
  <c r="B80" i="1"/>
  <c r="E80" i="1" s="1"/>
  <c r="C80" i="1"/>
  <c r="D80" i="1"/>
  <c r="B81" i="1"/>
  <c r="E81" i="1" s="1"/>
  <c r="C81" i="1"/>
  <c r="D81" i="1"/>
  <c r="B82" i="1"/>
  <c r="E82" i="1" s="1"/>
  <c r="C82" i="1"/>
  <c r="D82" i="1"/>
  <c r="B83" i="1"/>
  <c r="C83" i="1" s="1"/>
  <c r="D83" i="1"/>
  <c r="B84" i="1"/>
  <c r="C84" i="1" s="1"/>
  <c r="D84" i="1"/>
  <c r="B85" i="1"/>
  <c r="C85" i="1" s="1"/>
  <c r="E85" i="1" s="1"/>
  <c r="D85" i="1"/>
  <c r="B86" i="1"/>
  <c r="C86" i="1" s="1"/>
  <c r="D86" i="1"/>
  <c r="B87" i="1"/>
  <c r="C87" i="1" s="1"/>
  <c r="D87" i="1"/>
  <c r="B88" i="1"/>
  <c r="C88" i="1"/>
  <c r="D88" i="1"/>
  <c r="B89" i="1"/>
  <c r="C89" i="1"/>
  <c r="D89" i="1"/>
  <c r="B90" i="1"/>
  <c r="C90" i="1"/>
  <c r="D90" i="1"/>
  <c r="B91" i="1"/>
  <c r="C91" i="1" s="1"/>
  <c r="D91" i="1"/>
  <c r="B92" i="1"/>
  <c r="E92" i="1" s="1"/>
  <c r="C92" i="1"/>
  <c r="D92" i="1"/>
  <c r="B93" i="1"/>
  <c r="C93" i="1"/>
  <c r="D93" i="1"/>
  <c r="B94" i="1"/>
  <c r="E94" i="1" s="1"/>
  <c r="C94" i="1"/>
  <c r="D94" i="1"/>
  <c r="B95" i="1"/>
  <c r="C95" i="1" s="1"/>
  <c r="D95" i="1"/>
  <c r="B96" i="1"/>
  <c r="E96" i="1" s="1"/>
  <c r="C96" i="1"/>
  <c r="D96" i="1"/>
  <c r="B97" i="1"/>
  <c r="E97" i="1" s="1"/>
  <c r="C97" i="1"/>
  <c r="D97" i="1"/>
  <c r="B98" i="1"/>
  <c r="E98" i="1" s="1"/>
  <c r="C98" i="1"/>
  <c r="D98" i="1"/>
  <c r="B99" i="1"/>
  <c r="E99" i="1" s="1"/>
  <c r="C99" i="1"/>
  <c r="D99" i="1"/>
  <c r="B100" i="1"/>
  <c r="C100" i="1" s="1"/>
  <c r="D100" i="1"/>
  <c r="B101" i="1"/>
  <c r="C101" i="1"/>
  <c r="D101" i="1"/>
  <c r="B102" i="1"/>
  <c r="C102" i="1"/>
  <c r="D102" i="1"/>
  <c r="B103" i="1"/>
  <c r="C103" i="1"/>
  <c r="D103" i="1"/>
  <c r="B104" i="1"/>
  <c r="C104" i="1"/>
  <c r="E104" i="1" s="1"/>
  <c r="D104" i="1"/>
  <c r="B105" i="1"/>
  <c r="E105" i="1" s="1"/>
  <c r="C105" i="1"/>
  <c r="D105" i="1"/>
  <c r="B106" i="1"/>
  <c r="C106" i="1" s="1"/>
  <c r="D106" i="1"/>
  <c r="B107" i="1"/>
  <c r="E107" i="1" s="1"/>
  <c r="C107" i="1"/>
  <c r="D107" i="1"/>
  <c r="B108" i="1"/>
  <c r="C108" i="1"/>
  <c r="D108" i="1"/>
  <c r="B109" i="1"/>
  <c r="C109" i="1" s="1"/>
  <c r="D109" i="1"/>
  <c r="B110" i="1"/>
  <c r="C110" i="1"/>
  <c r="D110" i="1"/>
  <c r="B111" i="1"/>
  <c r="C111" i="1"/>
  <c r="D111" i="1"/>
  <c r="B112" i="1"/>
  <c r="C112" i="1"/>
  <c r="D112" i="1"/>
  <c r="B113" i="1"/>
  <c r="C113" i="1" s="1"/>
  <c r="D113" i="1"/>
  <c r="B114" i="1"/>
  <c r="E114" i="1" s="1"/>
  <c r="C114" i="1"/>
  <c r="D114" i="1"/>
  <c r="B115" i="1"/>
  <c r="E115" i="1" s="1"/>
  <c r="C115" i="1"/>
  <c r="D115" i="1"/>
  <c r="B116" i="1"/>
  <c r="E116" i="1" s="1"/>
  <c r="C116" i="1"/>
  <c r="D116" i="1"/>
  <c r="B117" i="1"/>
  <c r="C117" i="1" s="1"/>
  <c r="D117" i="1"/>
  <c r="B118" i="1"/>
  <c r="E118" i="1" s="1"/>
  <c r="C118" i="1"/>
  <c r="D118" i="1"/>
  <c r="B119" i="1"/>
  <c r="E119" i="1" s="1"/>
  <c r="C119" i="1"/>
  <c r="D119" i="1"/>
  <c r="B120" i="1"/>
  <c r="E120" i="1" s="1"/>
  <c r="C120" i="1"/>
  <c r="D120" i="1"/>
  <c r="B121" i="1"/>
  <c r="E121" i="1" s="1"/>
  <c r="C121" i="1"/>
  <c r="D121" i="1"/>
  <c r="B122" i="1"/>
  <c r="C122" i="1" s="1"/>
  <c r="D122" i="1"/>
  <c r="B123" i="1"/>
  <c r="E123" i="1" s="1"/>
  <c r="C123" i="1"/>
  <c r="D123" i="1"/>
  <c r="B124" i="1"/>
  <c r="C124" i="1"/>
  <c r="E124" i="1" s="1"/>
  <c r="D124" i="1"/>
  <c r="B125" i="1"/>
  <c r="C125" i="1" s="1"/>
  <c r="E125" i="1" s="1"/>
  <c r="D125" i="1"/>
  <c r="B126" i="1"/>
  <c r="C126" i="1"/>
  <c r="D126" i="1"/>
  <c r="B127" i="1"/>
  <c r="C127" i="1"/>
  <c r="D127" i="1"/>
  <c r="B128" i="1"/>
  <c r="C128" i="1" s="1"/>
  <c r="D128" i="1"/>
  <c r="B129" i="1"/>
  <c r="C129" i="1"/>
  <c r="E129" i="1" s="1"/>
  <c r="D129" i="1"/>
  <c r="B130" i="1"/>
  <c r="E130" i="1" s="1"/>
  <c r="C130" i="1"/>
  <c r="D130" i="1"/>
  <c r="B131" i="1"/>
  <c r="C131" i="1" s="1"/>
  <c r="D131" i="1"/>
  <c r="B132" i="1"/>
  <c r="C132" i="1"/>
  <c r="D132" i="1"/>
  <c r="B133" i="1"/>
  <c r="C133" i="1" s="1"/>
  <c r="E133" i="1" s="1"/>
  <c r="D133" i="1"/>
  <c r="B134" i="1"/>
  <c r="C134" i="1"/>
  <c r="D134" i="1"/>
  <c r="B135" i="1"/>
  <c r="C135" i="1" s="1"/>
  <c r="D135" i="1"/>
  <c r="D2" i="1"/>
  <c r="B2" i="1"/>
  <c r="E6" i="1" l="1"/>
  <c r="E28" i="1"/>
  <c r="C6" i="1"/>
  <c r="E122" i="1"/>
  <c r="E100" i="1"/>
  <c r="E78" i="1"/>
  <c r="E56" i="1"/>
  <c r="E34" i="1"/>
  <c r="E12" i="1"/>
  <c r="E18" i="1"/>
  <c r="E77" i="1"/>
  <c r="E106" i="1"/>
  <c r="C70" i="1"/>
  <c r="E70" i="1" s="1"/>
  <c r="E43" i="1"/>
  <c r="E59" i="1"/>
  <c r="E53" i="1"/>
  <c r="E42" i="1"/>
  <c r="C2" i="1"/>
  <c r="E2" i="1" s="1"/>
  <c r="E35" i="1"/>
  <c r="E117" i="1"/>
  <c r="E95" i="1"/>
  <c r="E73" i="1"/>
  <c r="E51" i="1"/>
  <c r="E29" i="1"/>
  <c r="E7" i="1"/>
  <c r="C28" i="1"/>
  <c r="E131" i="1"/>
  <c r="E83" i="1"/>
  <c r="E27" i="1"/>
  <c r="E4" i="1"/>
  <c r="E135" i="1"/>
  <c r="E113" i="1"/>
  <c r="E91" i="1"/>
  <c r="E69" i="1"/>
  <c r="E47" i="1"/>
  <c r="E25" i="1"/>
  <c r="E3" i="1"/>
</calcChain>
</file>

<file path=xl/sharedStrings.xml><?xml version="1.0" encoding="utf-8"?>
<sst xmlns="http://schemas.openxmlformats.org/spreadsheetml/2006/main" count="139" uniqueCount="139">
  <si>
    <t xml:space="preserve"> C-C_R--0.149415  0   -3.11626910    2.61486020    9.83804860 L</t>
  </si>
  <si>
    <t xml:space="preserve"> C-C_R--0.149415  0   -3.82266990   -1.39133810    9.83804860 L</t>
  </si>
  <si>
    <t xml:space="preserve"> C-C_R--0.149415  0   -0.70640080   -4.00619830    9.83804860 L</t>
  </si>
  <si>
    <t xml:space="preserve"> C-C_R--0.149415  0    3.11626910   -2.61486020    9.83804860 L</t>
  </si>
  <si>
    <t xml:space="preserve"> C-C_R--0.149415  0    4.06800040    0.00000000    9.83804860 L</t>
  </si>
  <si>
    <t xml:space="preserve"> C-C_R--0.149415  0    3.82266990    1.39133810    9.83804860 L</t>
  </si>
  <si>
    <t xml:space="preserve"> C-C_R-0.001524   0    3.52299160    2.03400020   11.06780470 L</t>
  </si>
  <si>
    <t xml:space="preserve"> C-C_R-0.001525   0    2.61486020    3.11626910   11.06780470 L</t>
  </si>
  <si>
    <t xml:space="preserve"> C-C_R--0.149415  0    2.03400020    3.52299160    9.83804860 L</t>
  </si>
  <si>
    <t xml:space="preserve"> C-C_R--0.005231  0    0.70640080    4.00619830   12.29756070 L</t>
  </si>
  <si>
    <t xml:space="preserve"> C-C_R-0.001524   0    0.00000000    4.06800040   11.06780470 L</t>
  </si>
  <si>
    <t xml:space="preserve"> C-C_R-0.001525   0   -1.39133810    3.82266990   11.06780470 L</t>
  </si>
  <si>
    <t xml:space="preserve"> C-C_R--0.149415  0   -2.03400020    3.52299160    9.83804860 L</t>
  </si>
  <si>
    <t xml:space="preserve"> C-C_R--0.005231  0   -3.11626910    2.61486020   12.29756070 L</t>
  </si>
  <si>
    <t xml:space="preserve"> C-C_R-0.001524   0   -3.52299160    2.03400020   11.06780470 L</t>
  </si>
  <si>
    <t xml:space="preserve"> C-C_R-0.001525   0   -4.00619830    0.70640080   11.06780470 L</t>
  </si>
  <si>
    <t xml:space="preserve"> C-C_R--0.149415  0   -4.06800040    0.00000000    9.83804860 L</t>
  </si>
  <si>
    <t xml:space="preserve"> C-C_R--0.005231  0   -3.82266990   -1.39133810   12.29756070 L</t>
  </si>
  <si>
    <t xml:space="preserve"> C-C_R-0.001524   0   -3.52299160   -2.03400020   11.06780470 L</t>
  </si>
  <si>
    <t xml:space="preserve"> C-C_R-0.001525   0   -2.61486020   -3.11626910   11.06780470 L</t>
  </si>
  <si>
    <t xml:space="preserve"> C-C_R--0.149415  0   -2.03400020   -3.52299160    9.83804860 L</t>
  </si>
  <si>
    <t xml:space="preserve"> C-C_R--0.005231  0   -0.70640080   -4.00619830   12.29756070 L</t>
  </si>
  <si>
    <t xml:space="preserve"> C-C_R-0.001524   0    0.00000000   -4.06800040   11.06780470 L</t>
  </si>
  <si>
    <t xml:space="preserve"> C-C_R-0.001525   0    1.39133810   -3.82266990   11.06780470 L</t>
  </si>
  <si>
    <t xml:space="preserve"> C-C_R--0.149415  0    2.03400020   -3.52299160    9.83804860 L</t>
  </si>
  <si>
    <t xml:space="preserve"> C-C_R--0.005231  0    3.11626910   -2.61486020   12.29756070 L</t>
  </si>
  <si>
    <t xml:space="preserve"> C-C_R-0.001524   0    3.52299160   -2.03400020   11.06780470 L</t>
  </si>
  <si>
    <t xml:space="preserve"> C-C_R-0.001525   0    4.00619830   -0.70640080   11.06780470 L</t>
  </si>
  <si>
    <t xml:space="preserve"> C-C_R--0.005231  0    4.06800040    0.00000000   12.29756070 L</t>
  </si>
  <si>
    <t xml:space="preserve"> C-C_R--0.005231  0    3.82266990    1.39133810   12.29756070 L</t>
  </si>
  <si>
    <t xml:space="preserve"> C-C_R--0.003115  0    3.52299160    2.03400020   13.52731680 L</t>
  </si>
  <si>
    <t xml:space="preserve"> C-C_R--0.003115  0    2.61486020    3.11626910   13.52731680 L</t>
  </si>
  <si>
    <t xml:space="preserve"> C-C_R--0.005231  0    2.03400020    3.52299160   12.29756070 L</t>
  </si>
  <si>
    <t xml:space="preserve"> C-C_R--0.004582  0    0.70640080    4.00619830   14.75707290 L</t>
  </si>
  <si>
    <t xml:space="preserve"> C-C_R--0.003115  0    0.00000000    4.06800040   13.52731680 L</t>
  </si>
  <si>
    <t xml:space="preserve"> C-C_R--0.003115  0   -1.39133810    3.82266990   13.52731680 L</t>
  </si>
  <si>
    <t xml:space="preserve"> C-C_R--0.005231  0   -2.03400020    3.52299160   12.29756070 L</t>
  </si>
  <si>
    <t xml:space="preserve"> C-C_R--0.004582  0   -3.11626910    2.61486020   14.75707290 L</t>
  </si>
  <si>
    <t xml:space="preserve"> C-C_R--0.003115  0   -3.52299160    2.03400020   13.52731680 L</t>
  </si>
  <si>
    <t xml:space="preserve"> C-C_R--0.003115  0   -4.00619830    0.70640080   13.52731680 L</t>
  </si>
  <si>
    <t xml:space="preserve"> C-C_R--0.005231  0   -4.06800040    0.00000000   12.29756070 L</t>
  </si>
  <si>
    <t xml:space="preserve"> C-C_R--0.004582  0   -3.82266990   -1.39133810   14.75707290 L</t>
  </si>
  <si>
    <t xml:space="preserve"> C-C_R--0.003115  0   -3.52299160   -2.03400020   13.52731680 L</t>
  </si>
  <si>
    <t xml:space="preserve"> C-C_R--0.003115  0   -2.61486020   -3.11626910   13.52731680 L</t>
  </si>
  <si>
    <t xml:space="preserve"> C-C_R--0.005231  0   -2.03400020   -3.52299160   12.29756070 L</t>
  </si>
  <si>
    <t xml:space="preserve"> C-C_R--0.004582  0   -0.70640080   -4.00619830   14.75707290 L</t>
  </si>
  <si>
    <t xml:space="preserve"> C-C_R--0.003115  0    0.00000000   -4.06800040   13.52731680 L</t>
  </si>
  <si>
    <t xml:space="preserve"> C-C_R--0.003115  0    1.39133810   -3.82266990   13.52731680 L</t>
  </si>
  <si>
    <t xml:space="preserve"> C-C_R--0.005231  0    2.03400020   -3.52299160   12.29756070 L</t>
  </si>
  <si>
    <t xml:space="preserve"> C-C_R--0.004582  0    3.11626910   -2.61486020   14.75707290 L</t>
  </si>
  <si>
    <t xml:space="preserve"> C-C_R--0.003115  0    3.52299160   -2.03400020   13.52731680 L</t>
  </si>
  <si>
    <t xml:space="preserve"> C-C_R--0.003115  0    4.00619830   -0.70640080   13.52731680 L</t>
  </si>
  <si>
    <t xml:space="preserve"> C-C_R--0.004582  0    4.06800040    0.00000000   14.75707290 L</t>
  </si>
  <si>
    <t xml:space="preserve"> C-C_R--0.004582  0    3.82266990    1.39133810   14.75707290 L</t>
  </si>
  <si>
    <t xml:space="preserve"> C-C_R--0.003115  0    3.52299160    2.03400020   15.98682890 L</t>
  </si>
  <si>
    <t xml:space="preserve"> C-C_R--0.003115  0    2.61486020    3.11626910   15.98682890 L</t>
  </si>
  <si>
    <t xml:space="preserve"> C-C_R--0.004582  0    2.03400020    3.52299160   14.75707290 L</t>
  </si>
  <si>
    <t xml:space="preserve"> C-C_R--0.005231  0    0.70640080    4.00619830   17.21658500 L</t>
  </si>
  <si>
    <t xml:space="preserve"> C-C_R--0.003115  0    0.00000000    4.06800040   15.98682890 L</t>
  </si>
  <si>
    <t xml:space="preserve"> C-C_R--0.003115  0   -1.39133810    3.82266990   15.98682890 L</t>
  </si>
  <si>
    <t xml:space="preserve"> C-C_R--0.004582  0   -2.03400020    3.52299160   14.75707290 L</t>
  </si>
  <si>
    <t xml:space="preserve"> C-C_R--0.005231  0   -3.11626910    2.61486020   17.21658500 L</t>
  </si>
  <si>
    <t xml:space="preserve"> C-C_R--0.003115  0   -3.52299160    2.03400020   15.98682890 L</t>
  </si>
  <si>
    <t xml:space="preserve"> C-C_R--0.003115  0   -4.00619830    0.70640080   15.98682890 L</t>
  </si>
  <si>
    <t xml:space="preserve"> C-C_R--0.004582  0   -4.06800040    0.00000000   14.75707290 L</t>
  </si>
  <si>
    <t xml:space="preserve"> C-C_R--0.005231  0   -3.82266990   -1.39133810   17.21658500 L</t>
  </si>
  <si>
    <t xml:space="preserve"> C-C_R--0.003115  0   -3.52299160   -2.03400020   15.98682890 L</t>
  </si>
  <si>
    <t xml:space="preserve"> C-C_R--0.003115  0   -2.61486020   -3.11626910   15.98682890 L</t>
  </si>
  <si>
    <t xml:space="preserve"> C-C_R--0.004582  0   -2.03400020   -3.52299160   14.75707290 L</t>
  </si>
  <si>
    <t xml:space="preserve"> C-C_R--0.005231  0   -0.70640080   -4.00619830   17.21658500 L</t>
  </si>
  <si>
    <t xml:space="preserve"> C-C_R--0.003115  0    0.00000000   -4.06800040   15.98682890 L</t>
  </si>
  <si>
    <t xml:space="preserve"> C-C_R--0.003115  0    1.39133810   -3.82266990   15.98682890 L</t>
  </si>
  <si>
    <t xml:space="preserve"> C-C_R--0.004582  0    2.03400020   -3.52299160   14.75707290 L</t>
  </si>
  <si>
    <t xml:space="preserve"> C-C_R--0.005231  0    3.11626910   -2.61486020   17.21658500 L</t>
  </si>
  <si>
    <t xml:space="preserve"> C-C_R--0.003115  0    3.52299160   -2.03400020   15.98682890 L</t>
  </si>
  <si>
    <t xml:space="preserve"> C-C_R--0.003115  0    4.00619830   -0.70640080   15.98682890 L</t>
  </si>
  <si>
    <t xml:space="preserve"> C-C_R--0.005231  0    4.06800040    0.00000000   17.21658500 L</t>
  </si>
  <si>
    <t xml:space="preserve"> C-C_R--0.005231  0    3.82266990    1.39133810   17.21658500 L</t>
  </si>
  <si>
    <t xml:space="preserve"> C-C_R-0.001524   0    3.52299160    2.03400020   18.44634110 L</t>
  </si>
  <si>
    <t xml:space="preserve"> C-C_R-0.001525   0    2.61486020    3.11626910   18.44634110 L</t>
  </si>
  <si>
    <t xml:space="preserve"> C-C_R--0.005231  0    2.03400020    3.52299160   17.21658500 L</t>
  </si>
  <si>
    <t xml:space="preserve"> C-C_R--0.149415  0    0.70640080    4.00619830   19.67609720 L</t>
  </si>
  <si>
    <t xml:space="preserve"> C-C_R-0.001524   0    0.00000000    4.06800040   18.44634110 L</t>
  </si>
  <si>
    <t xml:space="preserve"> C-C_R-0.001525   0   -1.39133810    3.82266990   18.44634110 L</t>
  </si>
  <si>
    <t xml:space="preserve"> C-C_R--0.005231  0   -2.03400020    3.52299160   17.21658500 L</t>
  </si>
  <si>
    <t xml:space="preserve"> C-C_R--0.149415  0   -3.11626910    2.61486020   19.67609720 L</t>
  </si>
  <si>
    <t xml:space="preserve"> C-C_R-0.001524   0   -3.52299160    2.03400020   18.44634110 L</t>
  </si>
  <si>
    <t xml:space="preserve"> C-C_R-0.001525   0   -4.00619830    0.70640080   18.44634110 L</t>
  </si>
  <si>
    <t xml:space="preserve"> C-C_R--0.005231  0   -4.06800040    0.00000000   17.21658500 L</t>
  </si>
  <si>
    <t xml:space="preserve"> C-C_R--0.149415  0   -3.82266990   -1.39133810   19.67609720 L</t>
  </si>
  <si>
    <t xml:space="preserve"> C-C_R-0.001525   0   -2.61486020   -3.11626910   18.44634110 L</t>
  </si>
  <si>
    <t xml:space="preserve"> C-C_R--0.005231  0   -2.03400020   -3.52299160   17.21658500 L</t>
  </si>
  <si>
    <t xml:space="preserve"> C-C_R--0.149415  0   -0.70640080   -4.00619830   19.67609720 L</t>
  </si>
  <si>
    <t xml:space="preserve"> C-C_R-0.001524   0    0.00000000   -4.06800040   18.44634110 L</t>
  </si>
  <si>
    <t xml:space="preserve"> C-C_R-0.001525   0    1.39133810   -3.82266990   18.44634110 L</t>
  </si>
  <si>
    <t xml:space="preserve"> C-C_R--0.005231  0    2.03400020   -3.52299160   17.21658500 L</t>
  </si>
  <si>
    <t xml:space="preserve"> C-C_R--0.149415  0    3.11626910   -2.61486020   19.67609720 L</t>
  </si>
  <si>
    <t xml:space="preserve"> C-C_R-0.001524   0    3.52299160   -2.03400020   18.44634110 L</t>
  </si>
  <si>
    <t xml:space="preserve"> C-C_R-0.001525   0    4.00619830   -0.70640080   18.44634110 L</t>
  </si>
  <si>
    <t xml:space="preserve"> C-C_R--0.149415  0    4.06800040    0.00000000   19.67609720 L</t>
  </si>
  <si>
    <t xml:space="preserve"> C-C_R--0.149415  0    3.82266990    1.39133810   19.67609720 L</t>
  </si>
  <si>
    <t xml:space="preserve"> C-C_R--0.149415  0    2.03400020    3.52299160   19.67609720 L</t>
  </si>
  <si>
    <t xml:space="preserve"> C-C_R--0.149415  0   -2.03400020    3.52299160   19.67609720 L</t>
  </si>
  <si>
    <t xml:space="preserve"> C-C_R--0.149415  0   -4.06800040    0.00000000   19.67609720 L</t>
  </si>
  <si>
    <t xml:space="preserve"> C-C_R--0.149415  0   -2.03400020   -3.52299160   19.67609720 L</t>
  </si>
  <si>
    <t xml:space="preserve"> C-C_R--0.149415  0    2.03400020   -3.52299160   19.67609720 L</t>
  </si>
  <si>
    <t xml:space="preserve"> H-H_-0.158528    0   -3.63204170    2.36499190    8.89914260 L</t>
  </si>
  <si>
    <t xml:space="preserve"> H-H_-0.158528    0   -3.86416390   -1.96294440    8.89914260 L</t>
  </si>
  <si>
    <t xml:space="preserve"> H-H_-0.158528    0   -0.23212230   -4.32793630    8.89914260 L</t>
  </si>
  <si>
    <t xml:space="preserve"> H-H_-0.158528    0    3.63204170   -2.36499190    8.89914260 L</t>
  </si>
  <si>
    <t xml:space="preserve"> H-H_-0.158528    0    4.30249280   -0.52294240    8.89914260 L</t>
  </si>
  <si>
    <t xml:space="preserve"> H-H_-0.158528    0    3.86416390    1.96294440    8.89914260 L</t>
  </si>
  <si>
    <t xml:space="preserve"> H-H_-0.158528    0    2.60412790    3.46459690    8.89914260 L</t>
  </si>
  <si>
    <t xml:space="preserve"> H-H_-0.158528    0   -1.69836500    3.98753930    8.89914260 L</t>
  </si>
  <si>
    <t xml:space="preserve"> H-H_-0.158528    0   -4.30249280    0.52294240    8.89914260 L</t>
  </si>
  <si>
    <t xml:space="preserve"> H-H_-0.158528    0   -2.60412790   -3.46459690    8.89914260 L</t>
  </si>
  <si>
    <t xml:space="preserve"> H-H_-0.158528    0    1.69836500   -3.98753930    8.89914260 L</t>
  </si>
  <si>
    <t xml:space="preserve"> H-H_-0.158528    0    0.23212230    4.32793630   20.61500320 L</t>
  </si>
  <si>
    <t xml:space="preserve"> H-H_-0.158528    0   -3.63204170    2.36499190   20.61500320 L</t>
  </si>
  <si>
    <t xml:space="preserve"> H-H_-0.158528    0   -3.86416390   -1.96294440   20.61500320 L</t>
  </si>
  <si>
    <t xml:space="preserve"> H-H_-0.158528    0   -0.23212230   -4.32793630   20.61500320 L</t>
  </si>
  <si>
    <t xml:space="preserve"> H-H_-0.158528    0    3.63204170   -2.36499190   20.61500320 L</t>
  </si>
  <si>
    <t xml:space="preserve"> H-H_-0.158528    0    3.86416390    1.96294440   20.61500320 L</t>
  </si>
  <si>
    <t xml:space="preserve"> H-H_-0.158528    0    2.60412790    3.46459690   20.61500320 L</t>
  </si>
  <si>
    <t xml:space="preserve"> H-H_-0.158528    0   -1.69836500    3.98753930   20.61500320 L</t>
  </si>
  <si>
    <t xml:space="preserve"> H-H_-0.158528    0   -4.30249280    0.52294240   20.61500320 L</t>
  </si>
  <si>
    <t xml:space="preserve"> H-H_-0.158528    0   -2.60412790   -3.46459690   20.61500320 L</t>
  </si>
  <si>
    <t xml:space="preserve"> H-H_-0.158528    0    1.69836500   -3.98753930   20.61500320 L</t>
  </si>
  <si>
    <t xml:space="preserve"> H-H_             0   -5.03400020    3.52299160   17.21658500 H</t>
  </si>
  <si>
    <t xml:space="preserve"> H-H_             0   -5.77400020    3.52299160   17.21658500 H</t>
  </si>
  <si>
    <t xml:space="preserve"> C-C_R--0.149415  0    0.70640080    4.00619830    9.83804860 L</t>
    <phoneticPr fontId="1" type="noConversion"/>
  </si>
  <si>
    <t xml:space="preserve"> C-C_R-0.001524   0   -3.52299160   -2.03400020   18.44634110 L</t>
    <phoneticPr fontId="1" type="noConversion"/>
  </si>
  <si>
    <t xml:space="preserve"> H-H_-0.158528    0    0.23212230    4.32793630    8.89914260 L</t>
    <phoneticPr fontId="1" type="noConversion"/>
  </si>
  <si>
    <t xml:space="preserve"> H-H_-0.158528    0    4.30249280   -0.52294240   20.61500320 L</t>
    <phoneticPr fontId="1" type="noConversion"/>
  </si>
  <si>
    <t>text</t>
    <phoneticPr fontId="1" type="noConversion"/>
  </si>
  <si>
    <t>chunk1</t>
    <phoneticPr fontId="1" type="noConversion"/>
  </si>
  <si>
    <t>chunk2</t>
  </si>
  <si>
    <t>chunk3</t>
  </si>
  <si>
    <t>final_text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</si>
</sst>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5"/>
  <sheetViews>
    <sheetView workbookViewId="0">
      <selection activeCell="B12" sqref="B12"/>
    </sheetView>
  </sheetViews>
  <sheetFormatPr defaultRowHeight="13.9" x14ac:dyDescent="0.4"/>
  <cols>
    <col min="1" max="1" width="58.46484375" bestFit="1" customWidth="1"/>
    <col min="2" max="2" width="15.46484375" customWidth="1"/>
    <col min="3" max="3" width="10.59765625" bestFit="1" customWidth="1"/>
    <col min="4" max="4" width="39.73046875" bestFit="1" customWidth="1"/>
    <col min="5" max="5" width="58.46484375" bestFit="1" customWidth="1"/>
  </cols>
  <sheetData>
    <row r="1" spans="1:5" x14ac:dyDescent="0.4">
      <c r="A1" s="1" t="s">
        <v>134</v>
      </c>
      <c r="B1" s="1" t="s">
        <v>135</v>
      </c>
      <c r="C1" s="1" t="s">
        <v>136</v>
      </c>
      <c r="D1" s="1" t="s">
        <v>137</v>
      </c>
      <c r="E1" s="1" t="s">
        <v>138</v>
      </c>
    </row>
    <row r="2" spans="1:5" x14ac:dyDescent="0.4">
      <c r="A2" t="s">
        <v>130</v>
      </c>
      <c r="B2" t="str">
        <f>LEFT(A2, MIN(IFERROR(FIND("-0.", A2), 999), IFERROR(FIND(" 0", A2), 999)) - 1)</f>
        <v xml:space="preserve"> C-C_R-</v>
      </c>
      <c r="C2" t="str">
        <f>MID(A2, LEN(B2) + 1, FIND(" 0 ", A2) - LEN(B2))</f>
        <v xml:space="preserve">-0.149415  </v>
      </c>
      <c r="D2" t="str">
        <f>MID(A2, FIND(" 0 ", A2) + 1, LEN(A2))</f>
        <v>0    0.70640080    4.00619830    9.83804860 L</v>
      </c>
      <c r="E2" t="str">
        <f>B2&amp;C2&amp;D2</f>
        <v xml:space="preserve"> C-C_R--0.149415  0    0.70640080    4.00619830    9.83804860 L</v>
      </c>
    </row>
    <row r="3" spans="1:5" x14ac:dyDescent="0.4">
      <c r="A3" t="s">
        <v>0</v>
      </c>
      <c r="B3" t="str">
        <f t="shared" ref="B3:B66" si="0">LEFT(A3, MIN(IFERROR(FIND("-0.", A3), 999), IFERROR(FIND(" 0", A3), 999)) - 1)</f>
        <v xml:space="preserve"> C-C_R-</v>
      </c>
      <c r="C3" t="str">
        <f t="shared" ref="C3:C66" si="1">MID(A3, LEN(B3) + 1, FIND(" 0 ", A3) - LEN(B3))</f>
        <v xml:space="preserve">-0.149415  </v>
      </c>
      <c r="D3" t="str">
        <f t="shared" ref="D3:D66" si="2">MID(A3, FIND(" 0 ", A3) + 1, LEN(A3))</f>
        <v>0   -3.11626910    2.61486020    9.83804860 L</v>
      </c>
      <c r="E3" t="str">
        <f t="shared" ref="E3:E66" si="3">B3&amp;C3&amp;D3</f>
        <v xml:space="preserve"> C-C_R--0.149415  0   -3.11626910    2.61486020    9.83804860 L</v>
      </c>
    </row>
    <row r="4" spans="1:5" x14ac:dyDescent="0.4">
      <c r="A4" t="s">
        <v>1</v>
      </c>
      <c r="B4" t="str">
        <f t="shared" si="0"/>
        <v xml:space="preserve"> C-C_R-</v>
      </c>
      <c r="C4" t="str">
        <f t="shared" si="1"/>
        <v xml:space="preserve">-0.149415  </v>
      </c>
      <c r="D4" t="str">
        <f t="shared" si="2"/>
        <v>0   -3.82266990   -1.39133810    9.83804860 L</v>
      </c>
      <c r="E4" t="str">
        <f t="shared" si="3"/>
        <v xml:space="preserve"> C-C_R--0.149415  0   -3.82266990   -1.39133810    9.83804860 L</v>
      </c>
    </row>
    <row r="5" spans="1:5" x14ac:dyDescent="0.4">
      <c r="A5" t="s">
        <v>2</v>
      </c>
      <c r="B5" t="str">
        <f t="shared" si="0"/>
        <v xml:space="preserve"> C-C_R-</v>
      </c>
      <c r="C5" t="str">
        <f t="shared" si="1"/>
        <v xml:space="preserve">-0.149415  </v>
      </c>
      <c r="D5" t="str">
        <f t="shared" si="2"/>
        <v>0   -0.70640080   -4.00619830    9.83804860 L</v>
      </c>
      <c r="E5" t="str">
        <f t="shared" si="3"/>
        <v xml:space="preserve"> C-C_R--0.149415  0   -0.70640080   -4.00619830    9.83804860 L</v>
      </c>
    </row>
    <row r="6" spans="1:5" x14ac:dyDescent="0.4">
      <c r="A6" t="s">
        <v>3</v>
      </c>
      <c r="B6" t="str">
        <f t="shared" si="0"/>
        <v xml:space="preserve"> C-C_R-</v>
      </c>
      <c r="C6" t="str">
        <f t="shared" si="1"/>
        <v xml:space="preserve">-0.149415  </v>
      </c>
      <c r="D6" t="str">
        <f t="shared" si="2"/>
        <v>0    3.11626910   -2.61486020    9.83804860 L</v>
      </c>
      <c r="E6" t="str">
        <f t="shared" si="3"/>
        <v xml:space="preserve"> C-C_R--0.149415  0    3.11626910   -2.61486020    9.83804860 L</v>
      </c>
    </row>
    <row r="7" spans="1:5" x14ac:dyDescent="0.4">
      <c r="A7" t="s">
        <v>4</v>
      </c>
      <c r="B7" t="str">
        <f t="shared" si="0"/>
        <v xml:space="preserve"> C-C_R-</v>
      </c>
      <c r="C7" t="str">
        <f t="shared" si="1"/>
        <v xml:space="preserve">-0.149415  </v>
      </c>
      <c r="D7" t="str">
        <f t="shared" si="2"/>
        <v>0    4.06800040    0.00000000    9.83804860 L</v>
      </c>
      <c r="E7" t="str">
        <f t="shared" si="3"/>
        <v xml:space="preserve"> C-C_R--0.149415  0    4.06800040    0.00000000    9.83804860 L</v>
      </c>
    </row>
    <row r="8" spans="1:5" x14ac:dyDescent="0.4">
      <c r="A8" t="s">
        <v>5</v>
      </c>
      <c r="B8" t="str">
        <f t="shared" si="0"/>
        <v xml:space="preserve"> C-C_R-</v>
      </c>
      <c r="C8" t="str">
        <f t="shared" si="1"/>
        <v xml:space="preserve">-0.149415  </v>
      </c>
      <c r="D8" t="str">
        <f t="shared" si="2"/>
        <v>0    3.82266990    1.39133810    9.83804860 L</v>
      </c>
      <c r="E8" t="str">
        <f t="shared" si="3"/>
        <v xml:space="preserve"> C-C_R--0.149415  0    3.82266990    1.39133810    9.83804860 L</v>
      </c>
    </row>
    <row r="9" spans="1:5" x14ac:dyDescent="0.4">
      <c r="A9" t="s">
        <v>6</v>
      </c>
      <c r="B9" t="str">
        <f t="shared" si="0"/>
        <v xml:space="preserve"> C-C_R</v>
      </c>
      <c r="C9" t="str">
        <f t="shared" si="1"/>
        <v xml:space="preserve">-0.001524   </v>
      </c>
      <c r="D9" t="str">
        <f t="shared" si="2"/>
        <v>0    3.52299160    2.03400020   11.06780470 L</v>
      </c>
      <c r="E9" t="str">
        <f t="shared" si="3"/>
        <v xml:space="preserve"> C-C_R-0.001524   0    3.52299160    2.03400020   11.06780470 L</v>
      </c>
    </row>
    <row r="10" spans="1:5" x14ac:dyDescent="0.4">
      <c r="A10" t="s">
        <v>7</v>
      </c>
      <c r="B10" t="str">
        <f t="shared" si="0"/>
        <v xml:space="preserve"> C-C_R</v>
      </c>
      <c r="C10" t="str">
        <f t="shared" si="1"/>
        <v xml:space="preserve">-0.001525   </v>
      </c>
      <c r="D10" t="str">
        <f t="shared" si="2"/>
        <v>0    2.61486020    3.11626910   11.06780470 L</v>
      </c>
      <c r="E10" t="str">
        <f t="shared" si="3"/>
        <v xml:space="preserve"> C-C_R-0.001525   0    2.61486020    3.11626910   11.06780470 L</v>
      </c>
    </row>
    <row r="11" spans="1:5" x14ac:dyDescent="0.4">
      <c r="A11" t="s">
        <v>8</v>
      </c>
      <c r="B11" t="str">
        <f t="shared" si="0"/>
        <v xml:space="preserve"> C-C_R-</v>
      </c>
      <c r="C11" t="str">
        <f t="shared" si="1"/>
        <v xml:space="preserve">-0.149415  </v>
      </c>
      <c r="D11" t="str">
        <f t="shared" si="2"/>
        <v>0    2.03400020    3.52299160    9.83804860 L</v>
      </c>
      <c r="E11" t="str">
        <f t="shared" si="3"/>
        <v xml:space="preserve"> C-C_R--0.149415  0    2.03400020    3.52299160    9.83804860 L</v>
      </c>
    </row>
    <row r="12" spans="1:5" x14ac:dyDescent="0.4">
      <c r="A12" t="s">
        <v>9</v>
      </c>
      <c r="B12" t="str">
        <f t="shared" si="0"/>
        <v xml:space="preserve"> C-C_R-</v>
      </c>
      <c r="C12" t="str">
        <f t="shared" si="1"/>
        <v xml:space="preserve">-0.005231  </v>
      </c>
      <c r="D12" t="str">
        <f t="shared" si="2"/>
        <v>0    0.70640080    4.00619830   12.29756070 L</v>
      </c>
      <c r="E12" t="str">
        <f t="shared" si="3"/>
        <v xml:space="preserve"> C-C_R--0.005231  0    0.70640080    4.00619830   12.29756070 L</v>
      </c>
    </row>
    <row r="13" spans="1:5" x14ac:dyDescent="0.4">
      <c r="A13" t="s">
        <v>10</v>
      </c>
      <c r="B13" t="str">
        <f t="shared" si="0"/>
        <v xml:space="preserve"> C-C_R</v>
      </c>
      <c r="C13" t="str">
        <f t="shared" si="1"/>
        <v xml:space="preserve">-0.001524   </v>
      </c>
      <c r="D13" t="str">
        <f t="shared" si="2"/>
        <v>0    0.00000000    4.06800040   11.06780470 L</v>
      </c>
      <c r="E13" t="str">
        <f t="shared" si="3"/>
        <v xml:space="preserve"> C-C_R-0.001524   0    0.00000000    4.06800040   11.06780470 L</v>
      </c>
    </row>
    <row r="14" spans="1:5" x14ac:dyDescent="0.4">
      <c r="A14" t="s">
        <v>11</v>
      </c>
      <c r="B14" t="str">
        <f t="shared" si="0"/>
        <v xml:space="preserve"> C-C_R</v>
      </c>
      <c r="C14" t="str">
        <f t="shared" si="1"/>
        <v xml:space="preserve">-0.001525   </v>
      </c>
      <c r="D14" t="str">
        <f t="shared" si="2"/>
        <v>0   -1.39133810    3.82266990   11.06780470 L</v>
      </c>
      <c r="E14" t="str">
        <f t="shared" si="3"/>
        <v xml:space="preserve"> C-C_R-0.001525   0   -1.39133810    3.82266990   11.06780470 L</v>
      </c>
    </row>
    <row r="15" spans="1:5" x14ac:dyDescent="0.4">
      <c r="A15" t="s">
        <v>12</v>
      </c>
      <c r="B15" t="str">
        <f t="shared" si="0"/>
        <v xml:space="preserve"> C-C_R-</v>
      </c>
      <c r="C15" t="str">
        <f t="shared" si="1"/>
        <v xml:space="preserve">-0.149415  </v>
      </c>
      <c r="D15" t="str">
        <f t="shared" si="2"/>
        <v>0   -2.03400020    3.52299160    9.83804860 L</v>
      </c>
      <c r="E15" t="str">
        <f t="shared" si="3"/>
        <v xml:space="preserve"> C-C_R--0.149415  0   -2.03400020    3.52299160    9.83804860 L</v>
      </c>
    </row>
    <row r="16" spans="1:5" x14ac:dyDescent="0.4">
      <c r="A16" t="s">
        <v>13</v>
      </c>
      <c r="B16" t="str">
        <f t="shared" si="0"/>
        <v xml:space="preserve"> C-C_R-</v>
      </c>
      <c r="C16" t="str">
        <f t="shared" si="1"/>
        <v xml:space="preserve">-0.005231  </v>
      </c>
      <c r="D16" t="str">
        <f t="shared" si="2"/>
        <v>0   -3.11626910    2.61486020   12.29756070 L</v>
      </c>
      <c r="E16" t="str">
        <f t="shared" si="3"/>
        <v xml:space="preserve"> C-C_R--0.005231  0   -3.11626910    2.61486020   12.29756070 L</v>
      </c>
    </row>
    <row r="17" spans="1:5" x14ac:dyDescent="0.4">
      <c r="A17" t="s">
        <v>14</v>
      </c>
      <c r="B17" t="str">
        <f t="shared" si="0"/>
        <v xml:space="preserve"> C-C_R</v>
      </c>
      <c r="C17" t="str">
        <f t="shared" si="1"/>
        <v xml:space="preserve">-0.001524   </v>
      </c>
      <c r="D17" t="str">
        <f t="shared" si="2"/>
        <v>0   -3.52299160    2.03400020   11.06780470 L</v>
      </c>
      <c r="E17" t="str">
        <f t="shared" si="3"/>
        <v xml:space="preserve"> C-C_R-0.001524   0   -3.52299160    2.03400020   11.06780470 L</v>
      </c>
    </row>
    <row r="18" spans="1:5" x14ac:dyDescent="0.4">
      <c r="A18" t="s">
        <v>15</v>
      </c>
      <c r="B18" t="str">
        <f t="shared" si="0"/>
        <v xml:space="preserve"> C-C_R</v>
      </c>
      <c r="C18" t="str">
        <f t="shared" si="1"/>
        <v xml:space="preserve">-0.001525   </v>
      </c>
      <c r="D18" t="str">
        <f t="shared" si="2"/>
        <v>0   -4.00619830    0.70640080   11.06780470 L</v>
      </c>
      <c r="E18" t="str">
        <f t="shared" si="3"/>
        <v xml:space="preserve"> C-C_R-0.001525   0   -4.00619830    0.70640080   11.06780470 L</v>
      </c>
    </row>
    <row r="19" spans="1:5" x14ac:dyDescent="0.4">
      <c r="A19" t="s">
        <v>16</v>
      </c>
      <c r="B19" t="str">
        <f t="shared" si="0"/>
        <v xml:space="preserve"> C-C_R-</v>
      </c>
      <c r="C19" t="str">
        <f t="shared" si="1"/>
        <v xml:space="preserve">-0.149415  </v>
      </c>
      <c r="D19" t="str">
        <f t="shared" si="2"/>
        <v>0   -4.06800040    0.00000000    9.83804860 L</v>
      </c>
      <c r="E19" t="str">
        <f t="shared" si="3"/>
        <v xml:space="preserve"> C-C_R--0.149415  0   -4.06800040    0.00000000    9.83804860 L</v>
      </c>
    </row>
    <row r="20" spans="1:5" x14ac:dyDescent="0.4">
      <c r="A20" t="s">
        <v>17</v>
      </c>
      <c r="B20" t="str">
        <f t="shared" si="0"/>
        <v xml:space="preserve"> C-C_R-</v>
      </c>
      <c r="C20" t="str">
        <f t="shared" si="1"/>
        <v xml:space="preserve">-0.005231  </v>
      </c>
      <c r="D20" t="str">
        <f t="shared" si="2"/>
        <v>0   -3.82266990   -1.39133810   12.29756070 L</v>
      </c>
      <c r="E20" t="str">
        <f t="shared" si="3"/>
        <v xml:space="preserve"> C-C_R--0.005231  0   -3.82266990   -1.39133810   12.29756070 L</v>
      </c>
    </row>
    <row r="21" spans="1:5" x14ac:dyDescent="0.4">
      <c r="A21" t="s">
        <v>18</v>
      </c>
      <c r="B21" t="str">
        <f t="shared" si="0"/>
        <v xml:space="preserve"> C-C_R</v>
      </c>
      <c r="C21" t="str">
        <f t="shared" si="1"/>
        <v xml:space="preserve">-0.001524   </v>
      </c>
      <c r="D21" t="str">
        <f t="shared" si="2"/>
        <v>0   -3.52299160   -2.03400020   11.06780470 L</v>
      </c>
      <c r="E21" t="str">
        <f t="shared" si="3"/>
        <v xml:space="preserve"> C-C_R-0.001524   0   -3.52299160   -2.03400020   11.06780470 L</v>
      </c>
    </row>
    <row r="22" spans="1:5" x14ac:dyDescent="0.4">
      <c r="A22" t="s">
        <v>19</v>
      </c>
      <c r="B22" t="str">
        <f t="shared" si="0"/>
        <v xml:space="preserve"> C-C_R</v>
      </c>
      <c r="C22" t="str">
        <f t="shared" si="1"/>
        <v xml:space="preserve">-0.001525   </v>
      </c>
      <c r="D22" t="str">
        <f t="shared" si="2"/>
        <v>0   -2.61486020   -3.11626910   11.06780470 L</v>
      </c>
      <c r="E22" t="str">
        <f t="shared" si="3"/>
        <v xml:space="preserve"> C-C_R-0.001525   0   -2.61486020   -3.11626910   11.06780470 L</v>
      </c>
    </row>
    <row r="23" spans="1:5" x14ac:dyDescent="0.4">
      <c r="A23" t="s">
        <v>20</v>
      </c>
      <c r="B23" t="str">
        <f t="shared" si="0"/>
        <v xml:space="preserve"> C-C_R-</v>
      </c>
      <c r="C23" t="str">
        <f t="shared" si="1"/>
        <v xml:space="preserve">-0.149415  </v>
      </c>
      <c r="D23" t="str">
        <f t="shared" si="2"/>
        <v>0   -2.03400020   -3.52299160    9.83804860 L</v>
      </c>
      <c r="E23" t="str">
        <f t="shared" si="3"/>
        <v xml:space="preserve"> C-C_R--0.149415  0   -2.03400020   -3.52299160    9.83804860 L</v>
      </c>
    </row>
    <row r="24" spans="1:5" x14ac:dyDescent="0.4">
      <c r="A24" t="s">
        <v>21</v>
      </c>
      <c r="B24" t="str">
        <f t="shared" si="0"/>
        <v xml:space="preserve"> C-C_R-</v>
      </c>
      <c r="C24" t="str">
        <f t="shared" si="1"/>
        <v xml:space="preserve">-0.005231  </v>
      </c>
      <c r="D24" t="str">
        <f t="shared" si="2"/>
        <v>0   -0.70640080   -4.00619830   12.29756070 L</v>
      </c>
      <c r="E24" t="str">
        <f t="shared" si="3"/>
        <v xml:space="preserve"> C-C_R--0.005231  0   -0.70640080   -4.00619830   12.29756070 L</v>
      </c>
    </row>
    <row r="25" spans="1:5" x14ac:dyDescent="0.4">
      <c r="A25" t="s">
        <v>22</v>
      </c>
      <c r="B25" t="str">
        <f t="shared" si="0"/>
        <v xml:space="preserve"> C-C_R</v>
      </c>
      <c r="C25" t="str">
        <f t="shared" si="1"/>
        <v xml:space="preserve">-0.001524   </v>
      </c>
      <c r="D25" t="str">
        <f t="shared" si="2"/>
        <v>0    0.00000000   -4.06800040   11.06780470 L</v>
      </c>
      <c r="E25" t="str">
        <f t="shared" si="3"/>
        <v xml:space="preserve"> C-C_R-0.001524   0    0.00000000   -4.06800040   11.06780470 L</v>
      </c>
    </row>
    <row r="26" spans="1:5" x14ac:dyDescent="0.4">
      <c r="A26" t="s">
        <v>23</v>
      </c>
      <c r="B26" t="str">
        <f t="shared" si="0"/>
        <v xml:space="preserve"> C-C_R</v>
      </c>
      <c r="C26" t="str">
        <f t="shared" si="1"/>
        <v xml:space="preserve">-0.001525   </v>
      </c>
      <c r="D26" t="str">
        <f t="shared" si="2"/>
        <v>0    1.39133810   -3.82266990   11.06780470 L</v>
      </c>
      <c r="E26" t="str">
        <f t="shared" si="3"/>
        <v xml:space="preserve"> C-C_R-0.001525   0    1.39133810   -3.82266990   11.06780470 L</v>
      </c>
    </row>
    <row r="27" spans="1:5" x14ac:dyDescent="0.4">
      <c r="A27" t="s">
        <v>24</v>
      </c>
      <c r="B27" t="str">
        <f t="shared" si="0"/>
        <v xml:space="preserve"> C-C_R-</v>
      </c>
      <c r="C27" t="str">
        <f t="shared" si="1"/>
        <v xml:space="preserve">-0.149415  </v>
      </c>
      <c r="D27" t="str">
        <f t="shared" si="2"/>
        <v>0    2.03400020   -3.52299160    9.83804860 L</v>
      </c>
      <c r="E27" t="str">
        <f t="shared" si="3"/>
        <v xml:space="preserve"> C-C_R--0.149415  0    2.03400020   -3.52299160    9.83804860 L</v>
      </c>
    </row>
    <row r="28" spans="1:5" x14ac:dyDescent="0.4">
      <c r="A28" t="s">
        <v>25</v>
      </c>
      <c r="B28" t="str">
        <f t="shared" si="0"/>
        <v xml:space="preserve"> C-C_R-</v>
      </c>
      <c r="C28" t="str">
        <f t="shared" si="1"/>
        <v xml:space="preserve">-0.005231  </v>
      </c>
      <c r="D28" t="str">
        <f t="shared" si="2"/>
        <v>0    3.11626910   -2.61486020   12.29756070 L</v>
      </c>
      <c r="E28" t="str">
        <f t="shared" si="3"/>
        <v xml:space="preserve"> C-C_R--0.005231  0    3.11626910   -2.61486020   12.29756070 L</v>
      </c>
    </row>
    <row r="29" spans="1:5" x14ac:dyDescent="0.4">
      <c r="A29" t="s">
        <v>26</v>
      </c>
      <c r="B29" t="str">
        <f t="shared" si="0"/>
        <v xml:space="preserve"> C-C_R</v>
      </c>
      <c r="C29" t="str">
        <f t="shared" si="1"/>
        <v xml:space="preserve">-0.001524   </v>
      </c>
      <c r="D29" t="str">
        <f t="shared" si="2"/>
        <v>0    3.52299160   -2.03400020   11.06780470 L</v>
      </c>
      <c r="E29" t="str">
        <f t="shared" si="3"/>
        <v xml:space="preserve"> C-C_R-0.001524   0    3.52299160   -2.03400020   11.06780470 L</v>
      </c>
    </row>
    <row r="30" spans="1:5" x14ac:dyDescent="0.4">
      <c r="A30" t="s">
        <v>27</v>
      </c>
      <c r="B30" t="str">
        <f t="shared" si="0"/>
        <v xml:space="preserve"> C-C_R</v>
      </c>
      <c r="C30" t="str">
        <f t="shared" si="1"/>
        <v xml:space="preserve">-0.001525   </v>
      </c>
      <c r="D30" t="str">
        <f t="shared" si="2"/>
        <v>0    4.00619830   -0.70640080   11.06780470 L</v>
      </c>
      <c r="E30" t="str">
        <f t="shared" si="3"/>
        <v xml:space="preserve"> C-C_R-0.001525   0    4.00619830   -0.70640080   11.06780470 L</v>
      </c>
    </row>
    <row r="31" spans="1:5" x14ac:dyDescent="0.4">
      <c r="A31" t="s">
        <v>28</v>
      </c>
      <c r="B31" t="str">
        <f t="shared" si="0"/>
        <v xml:space="preserve"> C-C_R-</v>
      </c>
      <c r="C31" t="str">
        <f t="shared" si="1"/>
        <v xml:space="preserve">-0.005231  </v>
      </c>
      <c r="D31" t="str">
        <f t="shared" si="2"/>
        <v>0    4.06800040    0.00000000   12.29756070 L</v>
      </c>
      <c r="E31" t="str">
        <f t="shared" si="3"/>
        <v xml:space="preserve"> C-C_R--0.005231  0    4.06800040    0.00000000   12.29756070 L</v>
      </c>
    </row>
    <row r="32" spans="1:5" x14ac:dyDescent="0.4">
      <c r="A32" t="s">
        <v>29</v>
      </c>
      <c r="B32" t="str">
        <f t="shared" si="0"/>
        <v xml:space="preserve"> C-C_R-</v>
      </c>
      <c r="C32" t="str">
        <f t="shared" si="1"/>
        <v xml:space="preserve">-0.005231  </v>
      </c>
      <c r="D32" t="str">
        <f t="shared" si="2"/>
        <v>0    3.82266990    1.39133810   12.29756070 L</v>
      </c>
      <c r="E32" t="str">
        <f t="shared" si="3"/>
        <v xml:space="preserve"> C-C_R--0.005231  0    3.82266990    1.39133810   12.29756070 L</v>
      </c>
    </row>
    <row r="33" spans="1:5" x14ac:dyDescent="0.4">
      <c r="A33" t="s">
        <v>30</v>
      </c>
      <c r="B33" t="str">
        <f t="shared" si="0"/>
        <v xml:space="preserve"> C-C_R-</v>
      </c>
      <c r="C33" t="str">
        <f t="shared" si="1"/>
        <v xml:space="preserve">-0.003115  </v>
      </c>
      <c r="D33" t="str">
        <f t="shared" si="2"/>
        <v>0    3.52299160    2.03400020   13.52731680 L</v>
      </c>
      <c r="E33" t="str">
        <f t="shared" si="3"/>
        <v xml:space="preserve"> C-C_R--0.003115  0    3.52299160    2.03400020   13.52731680 L</v>
      </c>
    </row>
    <row r="34" spans="1:5" x14ac:dyDescent="0.4">
      <c r="A34" t="s">
        <v>31</v>
      </c>
      <c r="B34" t="str">
        <f t="shared" si="0"/>
        <v xml:space="preserve"> C-C_R-</v>
      </c>
      <c r="C34" t="str">
        <f t="shared" si="1"/>
        <v xml:space="preserve">-0.003115  </v>
      </c>
      <c r="D34" t="str">
        <f t="shared" si="2"/>
        <v>0    2.61486020    3.11626910   13.52731680 L</v>
      </c>
      <c r="E34" t="str">
        <f t="shared" si="3"/>
        <v xml:space="preserve"> C-C_R--0.003115  0    2.61486020    3.11626910   13.52731680 L</v>
      </c>
    </row>
    <row r="35" spans="1:5" x14ac:dyDescent="0.4">
      <c r="A35" t="s">
        <v>32</v>
      </c>
      <c r="B35" t="str">
        <f t="shared" si="0"/>
        <v xml:space="preserve"> C-C_R-</v>
      </c>
      <c r="C35" t="str">
        <f t="shared" si="1"/>
        <v xml:space="preserve">-0.005231  </v>
      </c>
      <c r="D35" t="str">
        <f t="shared" si="2"/>
        <v>0    2.03400020    3.52299160   12.29756070 L</v>
      </c>
      <c r="E35" t="str">
        <f t="shared" si="3"/>
        <v xml:space="preserve"> C-C_R--0.005231  0    2.03400020    3.52299160   12.29756070 L</v>
      </c>
    </row>
    <row r="36" spans="1:5" x14ac:dyDescent="0.4">
      <c r="A36" t="s">
        <v>33</v>
      </c>
      <c r="B36" t="str">
        <f t="shared" si="0"/>
        <v xml:space="preserve"> C-C_R-</v>
      </c>
      <c r="C36" t="str">
        <f t="shared" si="1"/>
        <v xml:space="preserve">-0.004582  </v>
      </c>
      <c r="D36" t="str">
        <f t="shared" si="2"/>
        <v>0    0.70640080    4.00619830   14.75707290 L</v>
      </c>
      <c r="E36" t="str">
        <f t="shared" si="3"/>
        <v xml:space="preserve"> C-C_R--0.004582  0    0.70640080    4.00619830   14.75707290 L</v>
      </c>
    </row>
    <row r="37" spans="1:5" x14ac:dyDescent="0.4">
      <c r="A37" t="s">
        <v>34</v>
      </c>
      <c r="B37" t="str">
        <f t="shared" si="0"/>
        <v xml:space="preserve"> C-C_R-</v>
      </c>
      <c r="C37" t="str">
        <f t="shared" si="1"/>
        <v xml:space="preserve">-0.003115  </v>
      </c>
      <c r="D37" t="str">
        <f t="shared" si="2"/>
        <v>0    0.00000000    4.06800040   13.52731680 L</v>
      </c>
      <c r="E37" t="str">
        <f t="shared" si="3"/>
        <v xml:space="preserve"> C-C_R--0.003115  0    0.00000000    4.06800040   13.52731680 L</v>
      </c>
    </row>
    <row r="38" spans="1:5" x14ac:dyDescent="0.4">
      <c r="A38" t="s">
        <v>35</v>
      </c>
      <c r="B38" t="str">
        <f t="shared" si="0"/>
        <v xml:space="preserve"> C-C_R-</v>
      </c>
      <c r="C38" t="str">
        <f t="shared" si="1"/>
        <v xml:space="preserve">-0.003115  </v>
      </c>
      <c r="D38" t="str">
        <f t="shared" si="2"/>
        <v>0   -1.39133810    3.82266990   13.52731680 L</v>
      </c>
      <c r="E38" t="str">
        <f t="shared" si="3"/>
        <v xml:space="preserve"> C-C_R--0.003115  0   -1.39133810    3.82266990   13.52731680 L</v>
      </c>
    </row>
    <row r="39" spans="1:5" x14ac:dyDescent="0.4">
      <c r="A39" t="s">
        <v>36</v>
      </c>
      <c r="B39" t="str">
        <f t="shared" si="0"/>
        <v xml:space="preserve"> C-C_R-</v>
      </c>
      <c r="C39" t="str">
        <f t="shared" si="1"/>
        <v xml:space="preserve">-0.005231  </v>
      </c>
      <c r="D39" t="str">
        <f t="shared" si="2"/>
        <v>0   -2.03400020    3.52299160   12.29756070 L</v>
      </c>
      <c r="E39" t="str">
        <f t="shared" si="3"/>
        <v xml:space="preserve"> C-C_R--0.005231  0   -2.03400020    3.52299160   12.29756070 L</v>
      </c>
    </row>
    <row r="40" spans="1:5" x14ac:dyDescent="0.4">
      <c r="A40" t="s">
        <v>37</v>
      </c>
      <c r="B40" t="str">
        <f t="shared" si="0"/>
        <v xml:space="preserve"> C-C_R-</v>
      </c>
      <c r="C40" t="str">
        <f t="shared" si="1"/>
        <v xml:space="preserve">-0.004582  </v>
      </c>
      <c r="D40" t="str">
        <f t="shared" si="2"/>
        <v>0   -3.11626910    2.61486020   14.75707290 L</v>
      </c>
      <c r="E40" t="str">
        <f t="shared" si="3"/>
        <v xml:space="preserve"> C-C_R--0.004582  0   -3.11626910    2.61486020   14.75707290 L</v>
      </c>
    </row>
    <row r="41" spans="1:5" x14ac:dyDescent="0.4">
      <c r="A41" t="s">
        <v>38</v>
      </c>
      <c r="B41" t="str">
        <f t="shared" si="0"/>
        <v xml:space="preserve"> C-C_R-</v>
      </c>
      <c r="C41" t="str">
        <f t="shared" si="1"/>
        <v xml:space="preserve">-0.003115  </v>
      </c>
      <c r="D41" t="str">
        <f t="shared" si="2"/>
        <v>0   -3.52299160    2.03400020   13.52731680 L</v>
      </c>
      <c r="E41" t="str">
        <f t="shared" si="3"/>
        <v xml:space="preserve"> C-C_R--0.003115  0   -3.52299160    2.03400020   13.52731680 L</v>
      </c>
    </row>
    <row r="42" spans="1:5" x14ac:dyDescent="0.4">
      <c r="A42" t="s">
        <v>39</v>
      </c>
      <c r="B42" t="str">
        <f t="shared" si="0"/>
        <v xml:space="preserve"> C-C_R-</v>
      </c>
      <c r="C42" t="str">
        <f t="shared" si="1"/>
        <v xml:space="preserve">-0.003115  </v>
      </c>
      <c r="D42" t="str">
        <f t="shared" si="2"/>
        <v>0   -4.00619830    0.70640080   13.52731680 L</v>
      </c>
      <c r="E42" t="str">
        <f t="shared" si="3"/>
        <v xml:space="preserve"> C-C_R--0.003115  0   -4.00619830    0.70640080   13.52731680 L</v>
      </c>
    </row>
    <row r="43" spans="1:5" x14ac:dyDescent="0.4">
      <c r="A43" t="s">
        <v>40</v>
      </c>
      <c r="B43" t="str">
        <f t="shared" si="0"/>
        <v xml:space="preserve"> C-C_R-</v>
      </c>
      <c r="C43" t="str">
        <f t="shared" si="1"/>
        <v xml:space="preserve">-0.005231  </v>
      </c>
      <c r="D43" t="str">
        <f t="shared" si="2"/>
        <v>0   -4.06800040    0.00000000   12.29756070 L</v>
      </c>
      <c r="E43" t="str">
        <f t="shared" si="3"/>
        <v xml:space="preserve"> C-C_R--0.005231  0   -4.06800040    0.00000000   12.29756070 L</v>
      </c>
    </row>
    <row r="44" spans="1:5" x14ac:dyDescent="0.4">
      <c r="A44" t="s">
        <v>41</v>
      </c>
      <c r="B44" t="str">
        <f t="shared" si="0"/>
        <v xml:space="preserve"> C-C_R-</v>
      </c>
      <c r="C44" t="str">
        <f t="shared" si="1"/>
        <v xml:space="preserve">-0.004582  </v>
      </c>
      <c r="D44" t="str">
        <f t="shared" si="2"/>
        <v>0   -3.82266990   -1.39133810   14.75707290 L</v>
      </c>
      <c r="E44" t="str">
        <f t="shared" si="3"/>
        <v xml:space="preserve"> C-C_R--0.004582  0   -3.82266990   -1.39133810   14.75707290 L</v>
      </c>
    </row>
    <row r="45" spans="1:5" x14ac:dyDescent="0.4">
      <c r="A45" t="s">
        <v>42</v>
      </c>
      <c r="B45" t="str">
        <f t="shared" si="0"/>
        <v xml:space="preserve"> C-C_R-</v>
      </c>
      <c r="C45" t="str">
        <f t="shared" si="1"/>
        <v xml:space="preserve">-0.003115  </v>
      </c>
      <c r="D45" t="str">
        <f t="shared" si="2"/>
        <v>0   -3.52299160   -2.03400020   13.52731680 L</v>
      </c>
      <c r="E45" t="str">
        <f t="shared" si="3"/>
        <v xml:space="preserve"> C-C_R--0.003115  0   -3.52299160   -2.03400020   13.52731680 L</v>
      </c>
    </row>
    <row r="46" spans="1:5" x14ac:dyDescent="0.4">
      <c r="A46" t="s">
        <v>43</v>
      </c>
      <c r="B46" t="str">
        <f t="shared" si="0"/>
        <v xml:space="preserve"> C-C_R-</v>
      </c>
      <c r="C46" t="str">
        <f t="shared" si="1"/>
        <v xml:space="preserve">-0.003115  </v>
      </c>
      <c r="D46" t="str">
        <f t="shared" si="2"/>
        <v>0   -2.61486020   -3.11626910   13.52731680 L</v>
      </c>
      <c r="E46" t="str">
        <f t="shared" si="3"/>
        <v xml:space="preserve"> C-C_R--0.003115  0   -2.61486020   -3.11626910   13.52731680 L</v>
      </c>
    </row>
    <row r="47" spans="1:5" x14ac:dyDescent="0.4">
      <c r="A47" t="s">
        <v>44</v>
      </c>
      <c r="B47" t="str">
        <f t="shared" si="0"/>
        <v xml:space="preserve"> C-C_R-</v>
      </c>
      <c r="C47" t="str">
        <f t="shared" si="1"/>
        <v xml:space="preserve">-0.005231  </v>
      </c>
      <c r="D47" t="str">
        <f t="shared" si="2"/>
        <v>0   -2.03400020   -3.52299160   12.29756070 L</v>
      </c>
      <c r="E47" t="str">
        <f t="shared" si="3"/>
        <v xml:space="preserve"> C-C_R--0.005231  0   -2.03400020   -3.52299160   12.29756070 L</v>
      </c>
    </row>
    <row r="48" spans="1:5" x14ac:dyDescent="0.4">
      <c r="A48" t="s">
        <v>45</v>
      </c>
      <c r="B48" t="str">
        <f t="shared" si="0"/>
        <v xml:space="preserve"> C-C_R-</v>
      </c>
      <c r="C48" t="str">
        <f t="shared" si="1"/>
        <v xml:space="preserve">-0.004582  </v>
      </c>
      <c r="D48" t="str">
        <f t="shared" si="2"/>
        <v>0   -0.70640080   -4.00619830   14.75707290 L</v>
      </c>
      <c r="E48" t="str">
        <f t="shared" si="3"/>
        <v xml:space="preserve"> C-C_R--0.004582  0   -0.70640080   -4.00619830   14.75707290 L</v>
      </c>
    </row>
    <row r="49" spans="1:5" x14ac:dyDescent="0.4">
      <c r="A49" t="s">
        <v>46</v>
      </c>
      <c r="B49" t="str">
        <f t="shared" si="0"/>
        <v xml:space="preserve"> C-C_R-</v>
      </c>
      <c r="C49" t="str">
        <f t="shared" si="1"/>
        <v xml:space="preserve">-0.003115  </v>
      </c>
      <c r="D49" t="str">
        <f t="shared" si="2"/>
        <v>0    0.00000000   -4.06800040   13.52731680 L</v>
      </c>
      <c r="E49" t="str">
        <f t="shared" si="3"/>
        <v xml:space="preserve"> C-C_R--0.003115  0    0.00000000   -4.06800040   13.52731680 L</v>
      </c>
    </row>
    <row r="50" spans="1:5" x14ac:dyDescent="0.4">
      <c r="A50" t="s">
        <v>47</v>
      </c>
      <c r="B50" t="str">
        <f t="shared" si="0"/>
        <v xml:space="preserve"> C-C_R-</v>
      </c>
      <c r="C50" t="str">
        <f t="shared" si="1"/>
        <v xml:space="preserve">-0.003115  </v>
      </c>
      <c r="D50" t="str">
        <f t="shared" si="2"/>
        <v>0    1.39133810   -3.82266990   13.52731680 L</v>
      </c>
      <c r="E50" t="str">
        <f t="shared" si="3"/>
        <v xml:space="preserve"> C-C_R--0.003115  0    1.39133810   -3.82266990   13.52731680 L</v>
      </c>
    </row>
    <row r="51" spans="1:5" x14ac:dyDescent="0.4">
      <c r="A51" t="s">
        <v>48</v>
      </c>
      <c r="B51" t="str">
        <f t="shared" si="0"/>
        <v xml:space="preserve"> C-C_R-</v>
      </c>
      <c r="C51" t="str">
        <f t="shared" si="1"/>
        <v xml:space="preserve">-0.005231  </v>
      </c>
      <c r="D51" t="str">
        <f t="shared" si="2"/>
        <v>0    2.03400020   -3.52299160   12.29756070 L</v>
      </c>
      <c r="E51" t="str">
        <f t="shared" si="3"/>
        <v xml:space="preserve"> C-C_R--0.005231  0    2.03400020   -3.52299160   12.29756070 L</v>
      </c>
    </row>
    <row r="52" spans="1:5" x14ac:dyDescent="0.4">
      <c r="A52" t="s">
        <v>49</v>
      </c>
      <c r="B52" t="str">
        <f t="shared" si="0"/>
        <v xml:space="preserve"> C-C_R-</v>
      </c>
      <c r="C52" t="str">
        <f t="shared" si="1"/>
        <v xml:space="preserve">-0.004582  </v>
      </c>
      <c r="D52" t="str">
        <f t="shared" si="2"/>
        <v>0    3.11626910   -2.61486020   14.75707290 L</v>
      </c>
      <c r="E52" t="str">
        <f t="shared" si="3"/>
        <v xml:space="preserve"> C-C_R--0.004582  0    3.11626910   -2.61486020   14.75707290 L</v>
      </c>
    </row>
    <row r="53" spans="1:5" x14ac:dyDescent="0.4">
      <c r="A53" t="s">
        <v>50</v>
      </c>
      <c r="B53" t="str">
        <f t="shared" si="0"/>
        <v xml:space="preserve"> C-C_R-</v>
      </c>
      <c r="C53" t="str">
        <f t="shared" si="1"/>
        <v xml:space="preserve">-0.003115  </v>
      </c>
      <c r="D53" t="str">
        <f t="shared" si="2"/>
        <v>0    3.52299160   -2.03400020   13.52731680 L</v>
      </c>
      <c r="E53" t="str">
        <f t="shared" si="3"/>
        <v xml:space="preserve"> C-C_R--0.003115  0    3.52299160   -2.03400020   13.52731680 L</v>
      </c>
    </row>
    <row r="54" spans="1:5" x14ac:dyDescent="0.4">
      <c r="A54" t="s">
        <v>51</v>
      </c>
      <c r="B54" t="str">
        <f t="shared" si="0"/>
        <v xml:space="preserve"> C-C_R-</v>
      </c>
      <c r="C54" t="str">
        <f t="shared" si="1"/>
        <v xml:space="preserve">-0.003115  </v>
      </c>
      <c r="D54" t="str">
        <f t="shared" si="2"/>
        <v>0    4.00619830   -0.70640080   13.52731680 L</v>
      </c>
      <c r="E54" t="str">
        <f t="shared" si="3"/>
        <v xml:space="preserve"> C-C_R--0.003115  0    4.00619830   -0.70640080   13.52731680 L</v>
      </c>
    </row>
    <row r="55" spans="1:5" x14ac:dyDescent="0.4">
      <c r="A55" t="s">
        <v>52</v>
      </c>
      <c r="B55" t="str">
        <f t="shared" si="0"/>
        <v xml:space="preserve"> C-C_R-</v>
      </c>
      <c r="C55" t="str">
        <f t="shared" si="1"/>
        <v xml:space="preserve">-0.004582  </v>
      </c>
      <c r="D55" t="str">
        <f t="shared" si="2"/>
        <v>0    4.06800040    0.00000000   14.75707290 L</v>
      </c>
      <c r="E55" t="str">
        <f t="shared" si="3"/>
        <v xml:space="preserve"> C-C_R--0.004582  0    4.06800040    0.00000000   14.75707290 L</v>
      </c>
    </row>
    <row r="56" spans="1:5" x14ac:dyDescent="0.4">
      <c r="A56" t="s">
        <v>53</v>
      </c>
      <c r="B56" t="str">
        <f t="shared" si="0"/>
        <v xml:space="preserve"> C-C_R-</v>
      </c>
      <c r="C56" t="str">
        <f t="shared" si="1"/>
        <v xml:space="preserve">-0.004582  </v>
      </c>
      <c r="D56" t="str">
        <f t="shared" si="2"/>
        <v>0    3.82266990    1.39133810   14.75707290 L</v>
      </c>
      <c r="E56" t="str">
        <f t="shared" si="3"/>
        <v xml:space="preserve"> C-C_R--0.004582  0    3.82266990    1.39133810   14.75707290 L</v>
      </c>
    </row>
    <row r="57" spans="1:5" x14ac:dyDescent="0.4">
      <c r="A57" t="s">
        <v>54</v>
      </c>
      <c r="B57" t="str">
        <f t="shared" si="0"/>
        <v xml:space="preserve"> C-C_R-</v>
      </c>
      <c r="C57" t="str">
        <f t="shared" si="1"/>
        <v xml:space="preserve">-0.003115  </v>
      </c>
      <c r="D57" t="str">
        <f t="shared" si="2"/>
        <v>0    3.52299160    2.03400020   15.98682890 L</v>
      </c>
      <c r="E57" t="str">
        <f t="shared" si="3"/>
        <v xml:space="preserve"> C-C_R--0.003115  0    3.52299160    2.03400020   15.98682890 L</v>
      </c>
    </row>
    <row r="58" spans="1:5" x14ac:dyDescent="0.4">
      <c r="A58" t="s">
        <v>55</v>
      </c>
      <c r="B58" t="str">
        <f t="shared" si="0"/>
        <v xml:space="preserve"> C-C_R-</v>
      </c>
      <c r="C58" t="str">
        <f t="shared" si="1"/>
        <v xml:space="preserve">-0.003115  </v>
      </c>
      <c r="D58" t="str">
        <f t="shared" si="2"/>
        <v>0    2.61486020    3.11626910   15.98682890 L</v>
      </c>
      <c r="E58" t="str">
        <f t="shared" si="3"/>
        <v xml:space="preserve"> C-C_R--0.003115  0    2.61486020    3.11626910   15.98682890 L</v>
      </c>
    </row>
    <row r="59" spans="1:5" x14ac:dyDescent="0.4">
      <c r="A59" t="s">
        <v>56</v>
      </c>
      <c r="B59" t="str">
        <f t="shared" si="0"/>
        <v xml:space="preserve"> C-C_R-</v>
      </c>
      <c r="C59" t="str">
        <f t="shared" si="1"/>
        <v xml:space="preserve">-0.004582  </v>
      </c>
      <c r="D59" t="str">
        <f t="shared" si="2"/>
        <v>0    2.03400020    3.52299160   14.75707290 L</v>
      </c>
      <c r="E59" t="str">
        <f t="shared" si="3"/>
        <v xml:space="preserve"> C-C_R--0.004582  0    2.03400020    3.52299160   14.75707290 L</v>
      </c>
    </row>
    <row r="60" spans="1:5" x14ac:dyDescent="0.4">
      <c r="A60" t="s">
        <v>57</v>
      </c>
      <c r="B60" t="str">
        <f t="shared" si="0"/>
        <v xml:space="preserve"> C-C_R-</v>
      </c>
      <c r="C60" t="str">
        <f t="shared" si="1"/>
        <v xml:space="preserve">-0.005231  </v>
      </c>
      <c r="D60" t="str">
        <f t="shared" si="2"/>
        <v>0    0.70640080    4.00619830   17.21658500 L</v>
      </c>
      <c r="E60" t="str">
        <f t="shared" si="3"/>
        <v xml:space="preserve"> C-C_R--0.005231  0    0.70640080    4.00619830   17.21658500 L</v>
      </c>
    </row>
    <row r="61" spans="1:5" x14ac:dyDescent="0.4">
      <c r="A61" t="s">
        <v>58</v>
      </c>
      <c r="B61" t="str">
        <f t="shared" si="0"/>
        <v xml:space="preserve"> C-C_R-</v>
      </c>
      <c r="C61" t="str">
        <f t="shared" si="1"/>
        <v xml:space="preserve">-0.003115  </v>
      </c>
      <c r="D61" t="str">
        <f t="shared" si="2"/>
        <v>0    0.00000000    4.06800040   15.98682890 L</v>
      </c>
      <c r="E61" t="str">
        <f t="shared" si="3"/>
        <v xml:space="preserve"> C-C_R--0.003115  0    0.00000000    4.06800040   15.98682890 L</v>
      </c>
    </row>
    <row r="62" spans="1:5" x14ac:dyDescent="0.4">
      <c r="A62" t="s">
        <v>59</v>
      </c>
      <c r="B62" t="str">
        <f t="shared" si="0"/>
        <v xml:space="preserve"> C-C_R-</v>
      </c>
      <c r="C62" t="str">
        <f t="shared" si="1"/>
        <v xml:space="preserve">-0.003115  </v>
      </c>
      <c r="D62" t="str">
        <f t="shared" si="2"/>
        <v>0   -1.39133810    3.82266990   15.98682890 L</v>
      </c>
      <c r="E62" t="str">
        <f t="shared" si="3"/>
        <v xml:space="preserve"> C-C_R--0.003115  0   -1.39133810    3.82266990   15.98682890 L</v>
      </c>
    </row>
    <row r="63" spans="1:5" x14ac:dyDescent="0.4">
      <c r="A63" t="s">
        <v>60</v>
      </c>
      <c r="B63" t="str">
        <f t="shared" si="0"/>
        <v xml:space="preserve"> C-C_R-</v>
      </c>
      <c r="C63" t="str">
        <f t="shared" si="1"/>
        <v xml:space="preserve">-0.004582  </v>
      </c>
      <c r="D63" t="str">
        <f t="shared" si="2"/>
        <v>0   -2.03400020    3.52299160   14.75707290 L</v>
      </c>
      <c r="E63" t="str">
        <f t="shared" si="3"/>
        <v xml:space="preserve"> C-C_R--0.004582  0   -2.03400020    3.52299160   14.75707290 L</v>
      </c>
    </row>
    <row r="64" spans="1:5" x14ac:dyDescent="0.4">
      <c r="A64" t="s">
        <v>61</v>
      </c>
      <c r="B64" t="str">
        <f t="shared" si="0"/>
        <v xml:space="preserve"> C-C_R-</v>
      </c>
      <c r="C64" t="str">
        <f t="shared" si="1"/>
        <v xml:space="preserve">-0.005231  </v>
      </c>
      <c r="D64" t="str">
        <f t="shared" si="2"/>
        <v>0   -3.11626910    2.61486020   17.21658500 L</v>
      </c>
      <c r="E64" t="str">
        <f t="shared" si="3"/>
        <v xml:space="preserve"> C-C_R--0.005231  0   -3.11626910    2.61486020   17.21658500 L</v>
      </c>
    </row>
    <row r="65" spans="1:5" x14ac:dyDescent="0.4">
      <c r="A65" t="s">
        <v>62</v>
      </c>
      <c r="B65" t="str">
        <f t="shared" si="0"/>
        <v xml:space="preserve"> C-C_R-</v>
      </c>
      <c r="C65" t="str">
        <f t="shared" si="1"/>
        <v xml:space="preserve">-0.003115  </v>
      </c>
      <c r="D65" t="str">
        <f t="shared" si="2"/>
        <v>0   -3.52299160    2.03400020   15.98682890 L</v>
      </c>
      <c r="E65" t="str">
        <f t="shared" si="3"/>
        <v xml:space="preserve"> C-C_R--0.003115  0   -3.52299160    2.03400020   15.98682890 L</v>
      </c>
    </row>
    <row r="66" spans="1:5" x14ac:dyDescent="0.4">
      <c r="A66" t="s">
        <v>63</v>
      </c>
      <c r="B66" t="str">
        <f t="shared" si="0"/>
        <v xml:space="preserve"> C-C_R-</v>
      </c>
      <c r="C66" t="str">
        <f t="shared" si="1"/>
        <v xml:space="preserve">-0.003115  </v>
      </c>
      <c r="D66" t="str">
        <f t="shared" si="2"/>
        <v>0   -4.00619830    0.70640080   15.98682890 L</v>
      </c>
      <c r="E66" t="str">
        <f t="shared" si="3"/>
        <v xml:space="preserve"> C-C_R--0.003115  0   -4.00619830    0.70640080   15.98682890 L</v>
      </c>
    </row>
    <row r="67" spans="1:5" x14ac:dyDescent="0.4">
      <c r="A67" t="s">
        <v>64</v>
      </c>
      <c r="B67" t="str">
        <f t="shared" ref="B67:B130" si="4">LEFT(A67, MIN(IFERROR(FIND("-0.", A67), 999), IFERROR(FIND(" 0", A67), 999)) - 1)</f>
        <v xml:space="preserve"> C-C_R-</v>
      </c>
      <c r="C67" t="str">
        <f t="shared" ref="C67:C130" si="5">MID(A67, LEN(B67) + 1, FIND(" 0 ", A67) - LEN(B67))</f>
        <v xml:space="preserve">-0.004582  </v>
      </c>
      <c r="D67" t="str">
        <f t="shared" ref="D67:D130" si="6">MID(A67, FIND(" 0 ", A67) + 1, LEN(A67))</f>
        <v>0   -4.06800040    0.00000000   14.75707290 L</v>
      </c>
      <c r="E67" t="str">
        <f t="shared" ref="E67:E130" si="7">B67&amp;C67&amp;D67</f>
        <v xml:space="preserve"> C-C_R--0.004582  0   -4.06800040    0.00000000   14.75707290 L</v>
      </c>
    </row>
    <row r="68" spans="1:5" x14ac:dyDescent="0.4">
      <c r="A68" t="s">
        <v>65</v>
      </c>
      <c r="B68" t="str">
        <f t="shared" si="4"/>
        <v xml:space="preserve"> C-C_R-</v>
      </c>
      <c r="C68" t="str">
        <f t="shared" si="5"/>
        <v xml:space="preserve">-0.005231  </v>
      </c>
      <c r="D68" t="str">
        <f t="shared" si="6"/>
        <v>0   -3.82266990   -1.39133810   17.21658500 L</v>
      </c>
      <c r="E68" t="str">
        <f t="shared" si="7"/>
        <v xml:space="preserve"> C-C_R--0.005231  0   -3.82266990   -1.39133810   17.21658500 L</v>
      </c>
    </row>
    <row r="69" spans="1:5" x14ac:dyDescent="0.4">
      <c r="A69" t="s">
        <v>66</v>
      </c>
      <c r="B69" t="str">
        <f t="shared" si="4"/>
        <v xml:space="preserve"> C-C_R-</v>
      </c>
      <c r="C69" t="str">
        <f t="shared" si="5"/>
        <v xml:space="preserve">-0.003115  </v>
      </c>
      <c r="D69" t="str">
        <f t="shared" si="6"/>
        <v>0   -3.52299160   -2.03400020   15.98682890 L</v>
      </c>
      <c r="E69" t="str">
        <f t="shared" si="7"/>
        <v xml:space="preserve"> C-C_R--0.003115  0   -3.52299160   -2.03400020   15.98682890 L</v>
      </c>
    </row>
    <row r="70" spans="1:5" x14ac:dyDescent="0.4">
      <c r="A70" t="s">
        <v>67</v>
      </c>
      <c r="B70" t="str">
        <f t="shared" si="4"/>
        <v xml:space="preserve"> C-C_R-</v>
      </c>
      <c r="C70" t="str">
        <f t="shared" si="5"/>
        <v xml:space="preserve">-0.003115  </v>
      </c>
      <c r="D70" t="str">
        <f t="shared" si="6"/>
        <v>0   -2.61486020   -3.11626910   15.98682890 L</v>
      </c>
      <c r="E70" t="str">
        <f t="shared" si="7"/>
        <v xml:space="preserve"> C-C_R--0.003115  0   -2.61486020   -3.11626910   15.98682890 L</v>
      </c>
    </row>
    <row r="71" spans="1:5" x14ac:dyDescent="0.4">
      <c r="A71" t="s">
        <v>68</v>
      </c>
      <c r="B71" t="str">
        <f t="shared" si="4"/>
        <v xml:space="preserve"> C-C_R-</v>
      </c>
      <c r="C71" t="str">
        <f t="shared" si="5"/>
        <v xml:space="preserve">-0.004582  </v>
      </c>
      <c r="D71" t="str">
        <f t="shared" si="6"/>
        <v>0   -2.03400020   -3.52299160   14.75707290 L</v>
      </c>
      <c r="E71" t="str">
        <f t="shared" si="7"/>
        <v xml:space="preserve"> C-C_R--0.004582  0   -2.03400020   -3.52299160   14.75707290 L</v>
      </c>
    </row>
    <row r="72" spans="1:5" x14ac:dyDescent="0.4">
      <c r="A72" t="s">
        <v>69</v>
      </c>
      <c r="B72" t="str">
        <f t="shared" si="4"/>
        <v xml:space="preserve"> C-C_R-</v>
      </c>
      <c r="C72" t="str">
        <f t="shared" si="5"/>
        <v xml:space="preserve">-0.005231  </v>
      </c>
      <c r="D72" t="str">
        <f t="shared" si="6"/>
        <v>0   -0.70640080   -4.00619830   17.21658500 L</v>
      </c>
      <c r="E72" t="str">
        <f t="shared" si="7"/>
        <v xml:space="preserve"> C-C_R--0.005231  0   -0.70640080   -4.00619830   17.21658500 L</v>
      </c>
    </row>
    <row r="73" spans="1:5" x14ac:dyDescent="0.4">
      <c r="A73" t="s">
        <v>70</v>
      </c>
      <c r="B73" t="str">
        <f t="shared" si="4"/>
        <v xml:space="preserve"> C-C_R-</v>
      </c>
      <c r="C73" t="str">
        <f t="shared" si="5"/>
        <v xml:space="preserve">-0.003115  </v>
      </c>
      <c r="D73" t="str">
        <f t="shared" si="6"/>
        <v>0    0.00000000   -4.06800040   15.98682890 L</v>
      </c>
      <c r="E73" t="str">
        <f t="shared" si="7"/>
        <v xml:space="preserve"> C-C_R--0.003115  0    0.00000000   -4.06800040   15.98682890 L</v>
      </c>
    </row>
    <row r="74" spans="1:5" x14ac:dyDescent="0.4">
      <c r="A74" t="s">
        <v>71</v>
      </c>
      <c r="B74" t="str">
        <f t="shared" si="4"/>
        <v xml:space="preserve"> C-C_R-</v>
      </c>
      <c r="C74" t="str">
        <f t="shared" si="5"/>
        <v xml:space="preserve">-0.003115  </v>
      </c>
      <c r="D74" t="str">
        <f t="shared" si="6"/>
        <v>0    1.39133810   -3.82266990   15.98682890 L</v>
      </c>
      <c r="E74" t="str">
        <f t="shared" si="7"/>
        <v xml:space="preserve"> C-C_R--0.003115  0    1.39133810   -3.82266990   15.98682890 L</v>
      </c>
    </row>
    <row r="75" spans="1:5" x14ac:dyDescent="0.4">
      <c r="A75" t="s">
        <v>72</v>
      </c>
      <c r="B75" t="str">
        <f t="shared" si="4"/>
        <v xml:space="preserve"> C-C_R-</v>
      </c>
      <c r="C75" t="str">
        <f t="shared" si="5"/>
        <v xml:space="preserve">-0.004582  </v>
      </c>
      <c r="D75" t="str">
        <f t="shared" si="6"/>
        <v>0    2.03400020   -3.52299160   14.75707290 L</v>
      </c>
      <c r="E75" t="str">
        <f t="shared" si="7"/>
        <v xml:space="preserve"> C-C_R--0.004582  0    2.03400020   -3.52299160   14.75707290 L</v>
      </c>
    </row>
    <row r="76" spans="1:5" x14ac:dyDescent="0.4">
      <c r="A76" t="s">
        <v>73</v>
      </c>
      <c r="B76" t="str">
        <f t="shared" si="4"/>
        <v xml:space="preserve"> C-C_R-</v>
      </c>
      <c r="C76" t="str">
        <f t="shared" si="5"/>
        <v xml:space="preserve">-0.005231  </v>
      </c>
      <c r="D76" t="str">
        <f t="shared" si="6"/>
        <v>0    3.11626910   -2.61486020   17.21658500 L</v>
      </c>
      <c r="E76" t="str">
        <f t="shared" si="7"/>
        <v xml:space="preserve"> C-C_R--0.005231  0    3.11626910   -2.61486020   17.21658500 L</v>
      </c>
    </row>
    <row r="77" spans="1:5" x14ac:dyDescent="0.4">
      <c r="A77" t="s">
        <v>74</v>
      </c>
      <c r="B77" t="str">
        <f t="shared" si="4"/>
        <v xml:space="preserve"> C-C_R-</v>
      </c>
      <c r="C77" t="str">
        <f t="shared" si="5"/>
        <v xml:space="preserve">-0.003115  </v>
      </c>
      <c r="D77" t="str">
        <f t="shared" si="6"/>
        <v>0    3.52299160   -2.03400020   15.98682890 L</v>
      </c>
      <c r="E77" t="str">
        <f t="shared" si="7"/>
        <v xml:space="preserve"> C-C_R--0.003115  0    3.52299160   -2.03400020   15.98682890 L</v>
      </c>
    </row>
    <row r="78" spans="1:5" x14ac:dyDescent="0.4">
      <c r="A78" t="s">
        <v>75</v>
      </c>
      <c r="B78" t="str">
        <f t="shared" si="4"/>
        <v xml:space="preserve"> C-C_R-</v>
      </c>
      <c r="C78" t="str">
        <f t="shared" si="5"/>
        <v xml:space="preserve">-0.003115  </v>
      </c>
      <c r="D78" t="str">
        <f t="shared" si="6"/>
        <v>0    4.00619830   -0.70640080   15.98682890 L</v>
      </c>
      <c r="E78" t="str">
        <f t="shared" si="7"/>
        <v xml:space="preserve"> C-C_R--0.003115  0    4.00619830   -0.70640080   15.98682890 L</v>
      </c>
    </row>
    <row r="79" spans="1:5" x14ac:dyDescent="0.4">
      <c r="A79" t="s">
        <v>76</v>
      </c>
      <c r="B79" t="str">
        <f t="shared" si="4"/>
        <v xml:space="preserve"> C-C_R-</v>
      </c>
      <c r="C79" t="str">
        <f t="shared" si="5"/>
        <v xml:space="preserve">-0.005231  </v>
      </c>
      <c r="D79" t="str">
        <f t="shared" si="6"/>
        <v>0    4.06800040    0.00000000   17.21658500 L</v>
      </c>
      <c r="E79" t="str">
        <f t="shared" si="7"/>
        <v xml:space="preserve"> C-C_R--0.005231  0    4.06800040    0.00000000   17.21658500 L</v>
      </c>
    </row>
    <row r="80" spans="1:5" x14ac:dyDescent="0.4">
      <c r="A80" t="s">
        <v>77</v>
      </c>
      <c r="B80" t="str">
        <f t="shared" si="4"/>
        <v xml:space="preserve"> C-C_R-</v>
      </c>
      <c r="C80" t="str">
        <f t="shared" si="5"/>
        <v xml:space="preserve">-0.005231  </v>
      </c>
      <c r="D80" t="str">
        <f t="shared" si="6"/>
        <v>0    3.82266990    1.39133810   17.21658500 L</v>
      </c>
      <c r="E80" t="str">
        <f t="shared" si="7"/>
        <v xml:space="preserve"> C-C_R--0.005231  0    3.82266990    1.39133810   17.21658500 L</v>
      </c>
    </row>
    <row r="81" spans="1:5" x14ac:dyDescent="0.4">
      <c r="A81" t="s">
        <v>78</v>
      </c>
      <c r="B81" t="str">
        <f t="shared" si="4"/>
        <v xml:space="preserve"> C-C_R</v>
      </c>
      <c r="C81" t="str">
        <f t="shared" si="5"/>
        <v xml:space="preserve">-0.001524   </v>
      </c>
      <c r="D81" t="str">
        <f t="shared" si="6"/>
        <v>0    3.52299160    2.03400020   18.44634110 L</v>
      </c>
      <c r="E81" t="str">
        <f t="shared" si="7"/>
        <v xml:space="preserve"> C-C_R-0.001524   0    3.52299160    2.03400020   18.44634110 L</v>
      </c>
    </row>
    <row r="82" spans="1:5" x14ac:dyDescent="0.4">
      <c r="A82" t="s">
        <v>79</v>
      </c>
      <c r="B82" t="str">
        <f t="shared" si="4"/>
        <v xml:space="preserve"> C-C_R</v>
      </c>
      <c r="C82" t="str">
        <f t="shared" si="5"/>
        <v xml:space="preserve">-0.001525   </v>
      </c>
      <c r="D82" t="str">
        <f t="shared" si="6"/>
        <v>0    2.61486020    3.11626910   18.44634110 L</v>
      </c>
      <c r="E82" t="str">
        <f t="shared" si="7"/>
        <v xml:space="preserve"> C-C_R-0.001525   0    2.61486020    3.11626910   18.44634110 L</v>
      </c>
    </row>
    <row r="83" spans="1:5" x14ac:dyDescent="0.4">
      <c r="A83" t="s">
        <v>80</v>
      </c>
      <c r="B83" t="str">
        <f t="shared" si="4"/>
        <v xml:space="preserve"> C-C_R-</v>
      </c>
      <c r="C83" t="str">
        <f t="shared" si="5"/>
        <v xml:space="preserve">-0.005231  </v>
      </c>
      <c r="D83" t="str">
        <f t="shared" si="6"/>
        <v>0    2.03400020    3.52299160   17.21658500 L</v>
      </c>
      <c r="E83" t="str">
        <f t="shared" si="7"/>
        <v xml:space="preserve"> C-C_R--0.005231  0    2.03400020    3.52299160   17.21658500 L</v>
      </c>
    </row>
    <row r="84" spans="1:5" x14ac:dyDescent="0.4">
      <c r="A84" t="s">
        <v>81</v>
      </c>
      <c r="B84" t="str">
        <f t="shared" si="4"/>
        <v xml:space="preserve"> C-C_R-</v>
      </c>
      <c r="C84" t="str">
        <f t="shared" si="5"/>
        <v xml:space="preserve">-0.149415  </v>
      </c>
      <c r="D84" t="str">
        <f t="shared" si="6"/>
        <v>0    0.70640080    4.00619830   19.67609720 L</v>
      </c>
      <c r="E84" t="str">
        <f t="shared" si="7"/>
        <v xml:space="preserve"> C-C_R--0.149415  0    0.70640080    4.00619830   19.67609720 L</v>
      </c>
    </row>
    <row r="85" spans="1:5" x14ac:dyDescent="0.4">
      <c r="A85" t="s">
        <v>82</v>
      </c>
      <c r="B85" t="str">
        <f t="shared" si="4"/>
        <v xml:space="preserve"> C-C_R</v>
      </c>
      <c r="C85" t="str">
        <f t="shared" si="5"/>
        <v xml:space="preserve">-0.001524   </v>
      </c>
      <c r="D85" t="str">
        <f t="shared" si="6"/>
        <v>0    0.00000000    4.06800040   18.44634110 L</v>
      </c>
      <c r="E85" t="str">
        <f t="shared" si="7"/>
        <v xml:space="preserve"> C-C_R-0.001524   0    0.00000000    4.06800040   18.44634110 L</v>
      </c>
    </row>
    <row r="86" spans="1:5" x14ac:dyDescent="0.4">
      <c r="A86" t="s">
        <v>83</v>
      </c>
      <c r="B86" t="str">
        <f t="shared" si="4"/>
        <v xml:space="preserve"> C-C_R</v>
      </c>
      <c r="C86" t="str">
        <f t="shared" si="5"/>
        <v xml:space="preserve">-0.001525   </v>
      </c>
      <c r="D86" t="str">
        <f t="shared" si="6"/>
        <v>0   -1.39133810    3.82266990   18.44634110 L</v>
      </c>
      <c r="E86" t="str">
        <f t="shared" si="7"/>
        <v xml:space="preserve"> C-C_R-0.001525   0   -1.39133810    3.82266990   18.44634110 L</v>
      </c>
    </row>
    <row r="87" spans="1:5" x14ac:dyDescent="0.4">
      <c r="A87" t="s">
        <v>84</v>
      </c>
      <c r="B87" t="str">
        <f t="shared" si="4"/>
        <v xml:space="preserve"> C-C_R-</v>
      </c>
      <c r="C87" t="str">
        <f t="shared" si="5"/>
        <v xml:space="preserve">-0.005231  </v>
      </c>
      <c r="D87" t="str">
        <f t="shared" si="6"/>
        <v>0   -2.03400020    3.52299160   17.21658500 L</v>
      </c>
      <c r="E87" t="str">
        <f t="shared" si="7"/>
        <v xml:space="preserve"> C-C_R--0.005231  0   -2.03400020    3.52299160   17.21658500 L</v>
      </c>
    </row>
    <row r="88" spans="1:5" x14ac:dyDescent="0.4">
      <c r="A88" t="s">
        <v>85</v>
      </c>
      <c r="B88" t="str">
        <f t="shared" si="4"/>
        <v xml:space="preserve"> C-C_R-</v>
      </c>
      <c r="C88" t="str">
        <f t="shared" si="5"/>
        <v xml:space="preserve">-0.149415  </v>
      </c>
      <c r="D88" t="str">
        <f t="shared" si="6"/>
        <v>0   -3.11626910    2.61486020   19.67609720 L</v>
      </c>
      <c r="E88" t="str">
        <f t="shared" si="7"/>
        <v xml:space="preserve"> C-C_R--0.149415  0   -3.11626910    2.61486020   19.67609720 L</v>
      </c>
    </row>
    <row r="89" spans="1:5" x14ac:dyDescent="0.4">
      <c r="A89" t="s">
        <v>86</v>
      </c>
      <c r="B89" t="str">
        <f t="shared" si="4"/>
        <v xml:space="preserve"> C-C_R</v>
      </c>
      <c r="C89" t="str">
        <f t="shared" si="5"/>
        <v xml:space="preserve">-0.001524   </v>
      </c>
      <c r="D89" t="str">
        <f t="shared" si="6"/>
        <v>0   -3.52299160    2.03400020   18.44634110 L</v>
      </c>
      <c r="E89" t="str">
        <f t="shared" si="7"/>
        <v xml:space="preserve"> C-C_R-0.001524   0   -3.52299160    2.03400020   18.44634110 L</v>
      </c>
    </row>
    <row r="90" spans="1:5" x14ac:dyDescent="0.4">
      <c r="A90" t="s">
        <v>87</v>
      </c>
      <c r="B90" t="str">
        <f t="shared" si="4"/>
        <v xml:space="preserve"> C-C_R</v>
      </c>
      <c r="C90" t="str">
        <f t="shared" si="5"/>
        <v xml:space="preserve">-0.001525   </v>
      </c>
      <c r="D90" t="str">
        <f t="shared" si="6"/>
        <v>0   -4.00619830    0.70640080   18.44634110 L</v>
      </c>
      <c r="E90" t="str">
        <f t="shared" si="7"/>
        <v xml:space="preserve"> C-C_R-0.001525   0   -4.00619830    0.70640080   18.44634110 L</v>
      </c>
    </row>
    <row r="91" spans="1:5" x14ac:dyDescent="0.4">
      <c r="A91" t="s">
        <v>88</v>
      </c>
      <c r="B91" t="str">
        <f t="shared" si="4"/>
        <v xml:space="preserve"> C-C_R-</v>
      </c>
      <c r="C91" t="str">
        <f t="shared" si="5"/>
        <v xml:space="preserve">-0.005231  </v>
      </c>
      <c r="D91" t="str">
        <f t="shared" si="6"/>
        <v>0   -4.06800040    0.00000000   17.21658500 L</v>
      </c>
      <c r="E91" t="str">
        <f t="shared" si="7"/>
        <v xml:space="preserve"> C-C_R--0.005231  0   -4.06800040    0.00000000   17.21658500 L</v>
      </c>
    </row>
    <row r="92" spans="1:5" x14ac:dyDescent="0.4">
      <c r="A92" t="s">
        <v>89</v>
      </c>
      <c r="B92" t="str">
        <f t="shared" si="4"/>
        <v xml:space="preserve"> C-C_R-</v>
      </c>
      <c r="C92" t="str">
        <f t="shared" si="5"/>
        <v xml:space="preserve">-0.149415  </v>
      </c>
      <c r="D92" t="str">
        <f t="shared" si="6"/>
        <v>0   -3.82266990   -1.39133810   19.67609720 L</v>
      </c>
      <c r="E92" t="str">
        <f t="shared" si="7"/>
        <v xml:space="preserve"> C-C_R--0.149415  0   -3.82266990   -1.39133810   19.67609720 L</v>
      </c>
    </row>
    <row r="93" spans="1:5" x14ac:dyDescent="0.4">
      <c r="A93" t="s">
        <v>131</v>
      </c>
      <c r="B93" t="str">
        <f t="shared" si="4"/>
        <v xml:space="preserve"> C-C_R</v>
      </c>
      <c r="C93" t="str">
        <f t="shared" si="5"/>
        <v xml:space="preserve">-0.001524   </v>
      </c>
      <c r="D93" t="str">
        <f t="shared" si="6"/>
        <v>0   -3.52299160   -2.03400020   18.44634110 L</v>
      </c>
      <c r="E93" t="str">
        <f t="shared" si="7"/>
        <v xml:space="preserve"> C-C_R-0.001524   0   -3.52299160   -2.03400020   18.44634110 L</v>
      </c>
    </row>
    <row r="94" spans="1:5" x14ac:dyDescent="0.4">
      <c r="A94" t="s">
        <v>90</v>
      </c>
      <c r="B94" t="str">
        <f t="shared" si="4"/>
        <v xml:space="preserve"> C-C_R</v>
      </c>
      <c r="C94" t="str">
        <f t="shared" si="5"/>
        <v xml:space="preserve">-0.001525   </v>
      </c>
      <c r="D94" t="str">
        <f t="shared" si="6"/>
        <v>0   -2.61486020   -3.11626910   18.44634110 L</v>
      </c>
      <c r="E94" t="str">
        <f t="shared" si="7"/>
        <v xml:space="preserve"> C-C_R-0.001525   0   -2.61486020   -3.11626910   18.44634110 L</v>
      </c>
    </row>
    <row r="95" spans="1:5" x14ac:dyDescent="0.4">
      <c r="A95" t="s">
        <v>91</v>
      </c>
      <c r="B95" t="str">
        <f t="shared" si="4"/>
        <v xml:space="preserve"> C-C_R-</v>
      </c>
      <c r="C95" t="str">
        <f t="shared" si="5"/>
        <v xml:space="preserve">-0.005231  </v>
      </c>
      <c r="D95" t="str">
        <f t="shared" si="6"/>
        <v>0   -2.03400020   -3.52299160   17.21658500 L</v>
      </c>
      <c r="E95" t="str">
        <f t="shared" si="7"/>
        <v xml:space="preserve"> C-C_R--0.005231  0   -2.03400020   -3.52299160   17.21658500 L</v>
      </c>
    </row>
    <row r="96" spans="1:5" x14ac:dyDescent="0.4">
      <c r="A96" t="s">
        <v>92</v>
      </c>
      <c r="B96" t="str">
        <f t="shared" si="4"/>
        <v xml:space="preserve"> C-C_R-</v>
      </c>
      <c r="C96" t="str">
        <f t="shared" si="5"/>
        <v xml:space="preserve">-0.149415  </v>
      </c>
      <c r="D96" t="str">
        <f t="shared" si="6"/>
        <v>0   -0.70640080   -4.00619830   19.67609720 L</v>
      </c>
      <c r="E96" t="str">
        <f t="shared" si="7"/>
        <v xml:space="preserve"> C-C_R--0.149415  0   -0.70640080   -4.00619830   19.67609720 L</v>
      </c>
    </row>
    <row r="97" spans="1:5" x14ac:dyDescent="0.4">
      <c r="A97" t="s">
        <v>93</v>
      </c>
      <c r="B97" t="str">
        <f t="shared" si="4"/>
        <v xml:space="preserve"> C-C_R</v>
      </c>
      <c r="C97" t="str">
        <f t="shared" si="5"/>
        <v xml:space="preserve">-0.001524   </v>
      </c>
      <c r="D97" t="str">
        <f t="shared" si="6"/>
        <v>0    0.00000000   -4.06800040   18.44634110 L</v>
      </c>
      <c r="E97" t="str">
        <f t="shared" si="7"/>
        <v xml:space="preserve"> C-C_R-0.001524   0    0.00000000   -4.06800040   18.44634110 L</v>
      </c>
    </row>
    <row r="98" spans="1:5" x14ac:dyDescent="0.4">
      <c r="A98" t="s">
        <v>94</v>
      </c>
      <c r="B98" t="str">
        <f t="shared" si="4"/>
        <v xml:space="preserve"> C-C_R</v>
      </c>
      <c r="C98" t="str">
        <f t="shared" si="5"/>
        <v xml:space="preserve">-0.001525   </v>
      </c>
      <c r="D98" t="str">
        <f t="shared" si="6"/>
        <v>0    1.39133810   -3.82266990   18.44634110 L</v>
      </c>
      <c r="E98" t="str">
        <f t="shared" si="7"/>
        <v xml:space="preserve"> C-C_R-0.001525   0    1.39133810   -3.82266990   18.44634110 L</v>
      </c>
    </row>
    <row r="99" spans="1:5" x14ac:dyDescent="0.4">
      <c r="A99" t="s">
        <v>95</v>
      </c>
      <c r="B99" t="str">
        <f t="shared" si="4"/>
        <v xml:space="preserve"> C-C_R-</v>
      </c>
      <c r="C99" t="str">
        <f t="shared" si="5"/>
        <v xml:space="preserve">-0.005231  </v>
      </c>
      <c r="D99" t="str">
        <f t="shared" si="6"/>
        <v>0    2.03400020   -3.52299160   17.21658500 L</v>
      </c>
      <c r="E99" t="str">
        <f t="shared" si="7"/>
        <v xml:space="preserve"> C-C_R--0.005231  0    2.03400020   -3.52299160   17.21658500 L</v>
      </c>
    </row>
    <row r="100" spans="1:5" x14ac:dyDescent="0.4">
      <c r="A100" t="s">
        <v>96</v>
      </c>
      <c r="B100" t="str">
        <f t="shared" si="4"/>
        <v xml:space="preserve"> C-C_R-</v>
      </c>
      <c r="C100" t="str">
        <f t="shared" si="5"/>
        <v xml:space="preserve">-0.149415  </v>
      </c>
      <c r="D100" t="str">
        <f t="shared" si="6"/>
        <v>0    3.11626910   -2.61486020   19.67609720 L</v>
      </c>
      <c r="E100" t="str">
        <f t="shared" si="7"/>
        <v xml:space="preserve"> C-C_R--0.149415  0    3.11626910   -2.61486020   19.67609720 L</v>
      </c>
    </row>
    <row r="101" spans="1:5" x14ac:dyDescent="0.4">
      <c r="A101" t="s">
        <v>97</v>
      </c>
      <c r="B101" t="str">
        <f t="shared" si="4"/>
        <v xml:space="preserve"> C-C_R</v>
      </c>
      <c r="C101" t="str">
        <f t="shared" si="5"/>
        <v xml:space="preserve">-0.001524   </v>
      </c>
      <c r="D101" t="str">
        <f t="shared" si="6"/>
        <v>0    3.52299160   -2.03400020   18.44634110 L</v>
      </c>
      <c r="E101" t="str">
        <f t="shared" si="7"/>
        <v xml:space="preserve"> C-C_R-0.001524   0    3.52299160   -2.03400020   18.44634110 L</v>
      </c>
    </row>
    <row r="102" spans="1:5" x14ac:dyDescent="0.4">
      <c r="A102" t="s">
        <v>98</v>
      </c>
      <c r="B102" t="str">
        <f t="shared" si="4"/>
        <v xml:space="preserve"> C-C_R</v>
      </c>
      <c r="C102" t="str">
        <f t="shared" si="5"/>
        <v xml:space="preserve">-0.001525   </v>
      </c>
      <c r="D102" t="str">
        <f t="shared" si="6"/>
        <v>0    4.00619830   -0.70640080   18.44634110 L</v>
      </c>
      <c r="E102" t="str">
        <f t="shared" si="7"/>
        <v xml:space="preserve"> C-C_R-0.001525   0    4.00619830   -0.70640080   18.44634110 L</v>
      </c>
    </row>
    <row r="103" spans="1:5" x14ac:dyDescent="0.4">
      <c r="A103" t="s">
        <v>99</v>
      </c>
      <c r="B103" t="str">
        <f t="shared" si="4"/>
        <v xml:space="preserve"> C-C_R-</v>
      </c>
      <c r="C103" t="str">
        <f t="shared" si="5"/>
        <v xml:space="preserve">-0.149415  </v>
      </c>
      <c r="D103" t="str">
        <f t="shared" si="6"/>
        <v>0    4.06800040    0.00000000   19.67609720 L</v>
      </c>
      <c r="E103" t="str">
        <f t="shared" si="7"/>
        <v xml:space="preserve"> C-C_R--0.149415  0    4.06800040    0.00000000   19.67609720 L</v>
      </c>
    </row>
    <row r="104" spans="1:5" x14ac:dyDescent="0.4">
      <c r="A104" t="s">
        <v>100</v>
      </c>
      <c r="B104" t="str">
        <f t="shared" si="4"/>
        <v xml:space="preserve"> C-C_R-</v>
      </c>
      <c r="C104" t="str">
        <f t="shared" si="5"/>
        <v xml:space="preserve">-0.149415  </v>
      </c>
      <c r="D104" t="str">
        <f t="shared" si="6"/>
        <v>0    3.82266990    1.39133810   19.67609720 L</v>
      </c>
      <c r="E104" t="str">
        <f t="shared" si="7"/>
        <v xml:space="preserve"> C-C_R--0.149415  0    3.82266990    1.39133810   19.67609720 L</v>
      </c>
    </row>
    <row r="105" spans="1:5" x14ac:dyDescent="0.4">
      <c r="A105" t="s">
        <v>101</v>
      </c>
      <c r="B105" t="str">
        <f t="shared" si="4"/>
        <v xml:space="preserve"> C-C_R-</v>
      </c>
      <c r="C105" t="str">
        <f t="shared" si="5"/>
        <v xml:space="preserve">-0.149415  </v>
      </c>
      <c r="D105" t="str">
        <f t="shared" si="6"/>
        <v>0    2.03400020    3.52299160   19.67609720 L</v>
      </c>
      <c r="E105" t="str">
        <f t="shared" si="7"/>
        <v xml:space="preserve"> C-C_R--0.149415  0    2.03400020    3.52299160   19.67609720 L</v>
      </c>
    </row>
    <row r="106" spans="1:5" x14ac:dyDescent="0.4">
      <c r="A106" t="s">
        <v>102</v>
      </c>
      <c r="B106" t="str">
        <f t="shared" si="4"/>
        <v xml:space="preserve"> C-C_R-</v>
      </c>
      <c r="C106" t="str">
        <f t="shared" si="5"/>
        <v xml:space="preserve">-0.149415  </v>
      </c>
      <c r="D106" t="str">
        <f t="shared" si="6"/>
        <v>0   -2.03400020    3.52299160   19.67609720 L</v>
      </c>
      <c r="E106" t="str">
        <f t="shared" si="7"/>
        <v xml:space="preserve"> C-C_R--0.149415  0   -2.03400020    3.52299160   19.67609720 L</v>
      </c>
    </row>
    <row r="107" spans="1:5" x14ac:dyDescent="0.4">
      <c r="A107" t="s">
        <v>103</v>
      </c>
      <c r="B107" t="str">
        <f t="shared" si="4"/>
        <v xml:space="preserve"> C-C_R-</v>
      </c>
      <c r="C107" t="str">
        <f t="shared" si="5"/>
        <v xml:space="preserve">-0.149415  </v>
      </c>
      <c r="D107" t="str">
        <f t="shared" si="6"/>
        <v>0   -4.06800040    0.00000000   19.67609720 L</v>
      </c>
      <c r="E107" t="str">
        <f t="shared" si="7"/>
        <v xml:space="preserve"> C-C_R--0.149415  0   -4.06800040    0.00000000   19.67609720 L</v>
      </c>
    </row>
    <row r="108" spans="1:5" x14ac:dyDescent="0.4">
      <c r="A108" t="s">
        <v>104</v>
      </c>
      <c r="B108" t="str">
        <f t="shared" si="4"/>
        <v xml:space="preserve"> C-C_R-</v>
      </c>
      <c r="C108" t="str">
        <f t="shared" si="5"/>
        <v xml:space="preserve">-0.149415  </v>
      </c>
      <c r="D108" t="str">
        <f t="shared" si="6"/>
        <v>0   -2.03400020   -3.52299160   19.67609720 L</v>
      </c>
      <c r="E108" t="str">
        <f t="shared" si="7"/>
        <v xml:space="preserve"> C-C_R--0.149415  0   -2.03400020   -3.52299160   19.67609720 L</v>
      </c>
    </row>
    <row r="109" spans="1:5" x14ac:dyDescent="0.4">
      <c r="A109" t="s">
        <v>105</v>
      </c>
      <c r="B109" t="str">
        <f t="shared" si="4"/>
        <v xml:space="preserve"> C-C_R-</v>
      </c>
      <c r="C109" t="str">
        <f t="shared" si="5"/>
        <v xml:space="preserve">-0.149415  </v>
      </c>
      <c r="D109" t="str">
        <f t="shared" si="6"/>
        <v>0    2.03400020   -3.52299160   19.67609720 L</v>
      </c>
      <c r="E109" t="str">
        <f t="shared" si="7"/>
        <v xml:space="preserve"> C-C_R--0.149415  0    2.03400020   -3.52299160   19.67609720 L</v>
      </c>
    </row>
    <row r="110" spans="1:5" x14ac:dyDescent="0.4">
      <c r="A110" t="s">
        <v>132</v>
      </c>
      <c r="B110" t="str">
        <f t="shared" si="4"/>
        <v xml:space="preserve"> H-H_</v>
      </c>
      <c r="C110" t="str">
        <f t="shared" si="5"/>
        <v xml:space="preserve">-0.158528    </v>
      </c>
      <c r="D110" t="str">
        <f t="shared" si="6"/>
        <v>0    0.23212230    4.32793630    8.89914260 L</v>
      </c>
      <c r="E110" t="str">
        <f t="shared" si="7"/>
        <v xml:space="preserve"> H-H_-0.158528    0    0.23212230    4.32793630    8.89914260 L</v>
      </c>
    </row>
    <row r="111" spans="1:5" x14ac:dyDescent="0.4">
      <c r="A111" t="s">
        <v>106</v>
      </c>
      <c r="B111" t="str">
        <f t="shared" si="4"/>
        <v xml:space="preserve"> H-H_</v>
      </c>
      <c r="C111" t="str">
        <f t="shared" si="5"/>
        <v xml:space="preserve">-0.158528    </v>
      </c>
      <c r="D111" t="str">
        <f t="shared" si="6"/>
        <v>0   -3.63204170    2.36499190    8.89914260 L</v>
      </c>
      <c r="E111" t="str">
        <f t="shared" si="7"/>
        <v xml:space="preserve"> H-H_-0.158528    0   -3.63204170    2.36499190    8.89914260 L</v>
      </c>
    </row>
    <row r="112" spans="1:5" x14ac:dyDescent="0.4">
      <c r="A112" t="s">
        <v>107</v>
      </c>
      <c r="B112" t="str">
        <f t="shared" si="4"/>
        <v xml:space="preserve"> H-H_</v>
      </c>
      <c r="C112" t="str">
        <f t="shared" si="5"/>
        <v xml:space="preserve">-0.158528    </v>
      </c>
      <c r="D112" t="str">
        <f t="shared" si="6"/>
        <v>0   -3.86416390   -1.96294440    8.89914260 L</v>
      </c>
      <c r="E112" t="str">
        <f t="shared" si="7"/>
        <v xml:space="preserve"> H-H_-0.158528    0   -3.86416390   -1.96294440    8.89914260 L</v>
      </c>
    </row>
    <row r="113" spans="1:5" x14ac:dyDescent="0.4">
      <c r="A113" t="s">
        <v>108</v>
      </c>
      <c r="B113" t="str">
        <f t="shared" si="4"/>
        <v xml:space="preserve"> H-H_</v>
      </c>
      <c r="C113" t="str">
        <f t="shared" si="5"/>
        <v xml:space="preserve">-0.158528    </v>
      </c>
      <c r="D113" t="str">
        <f t="shared" si="6"/>
        <v>0   -0.23212230   -4.32793630    8.89914260 L</v>
      </c>
      <c r="E113" t="str">
        <f t="shared" si="7"/>
        <v xml:space="preserve"> H-H_-0.158528    0   -0.23212230   -4.32793630    8.89914260 L</v>
      </c>
    </row>
    <row r="114" spans="1:5" x14ac:dyDescent="0.4">
      <c r="A114" t="s">
        <v>109</v>
      </c>
      <c r="B114" t="str">
        <f t="shared" si="4"/>
        <v xml:space="preserve"> H-H_</v>
      </c>
      <c r="C114" t="str">
        <f t="shared" si="5"/>
        <v xml:space="preserve">-0.158528    </v>
      </c>
      <c r="D114" t="str">
        <f t="shared" si="6"/>
        <v>0    3.63204170   -2.36499190    8.89914260 L</v>
      </c>
      <c r="E114" t="str">
        <f t="shared" si="7"/>
        <v xml:space="preserve"> H-H_-0.158528    0    3.63204170   -2.36499190    8.89914260 L</v>
      </c>
    </row>
    <row r="115" spans="1:5" x14ac:dyDescent="0.4">
      <c r="A115" t="s">
        <v>110</v>
      </c>
      <c r="B115" t="str">
        <f t="shared" si="4"/>
        <v xml:space="preserve"> H-H_</v>
      </c>
      <c r="C115" t="str">
        <f t="shared" si="5"/>
        <v xml:space="preserve">-0.158528    </v>
      </c>
      <c r="D115" t="str">
        <f t="shared" si="6"/>
        <v>0    4.30249280   -0.52294240    8.89914260 L</v>
      </c>
      <c r="E115" t="str">
        <f t="shared" si="7"/>
        <v xml:space="preserve"> H-H_-0.158528    0    4.30249280   -0.52294240    8.89914260 L</v>
      </c>
    </row>
    <row r="116" spans="1:5" x14ac:dyDescent="0.4">
      <c r="A116" t="s">
        <v>111</v>
      </c>
      <c r="B116" t="str">
        <f t="shared" si="4"/>
        <v xml:space="preserve"> H-H_</v>
      </c>
      <c r="C116" t="str">
        <f t="shared" si="5"/>
        <v xml:space="preserve">-0.158528    </v>
      </c>
      <c r="D116" t="str">
        <f t="shared" si="6"/>
        <v>0    3.86416390    1.96294440    8.89914260 L</v>
      </c>
      <c r="E116" t="str">
        <f t="shared" si="7"/>
        <v xml:space="preserve"> H-H_-0.158528    0    3.86416390    1.96294440    8.89914260 L</v>
      </c>
    </row>
    <row r="117" spans="1:5" x14ac:dyDescent="0.4">
      <c r="A117" t="s">
        <v>112</v>
      </c>
      <c r="B117" t="str">
        <f t="shared" si="4"/>
        <v xml:space="preserve"> H-H_</v>
      </c>
      <c r="C117" t="str">
        <f t="shared" si="5"/>
        <v xml:space="preserve">-0.158528    </v>
      </c>
      <c r="D117" t="str">
        <f t="shared" si="6"/>
        <v>0    2.60412790    3.46459690    8.89914260 L</v>
      </c>
      <c r="E117" t="str">
        <f t="shared" si="7"/>
        <v xml:space="preserve"> H-H_-0.158528    0    2.60412790    3.46459690    8.89914260 L</v>
      </c>
    </row>
    <row r="118" spans="1:5" x14ac:dyDescent="0.4">
      <c r="A118" t="s">
        <v>113</v>
      </c>
      <c r="B118" t="str">
        <f t="shared" si="4"/>
        <v xml:space="preserve"> H-H_</v>
      </c>
      <c r="C118" t="str">
        <f t="shared" si="5"/>
        <v xml:space="preserve">-0.158528    </v>
      </c>
      <c r="D118" t="str">
        <f t="shared" si="6"/>
        <v>0   -1.69836500    3.98753930    8.89914260 L</v>
      </c>
      <c r="E118" t="str">
        <f t="shared" si="7"/>
        <v xml:space="preserve"> H-H_-0.158528    0   -1.69836500    3.98753930    8.89914260 L</v>
      </c>
    </row>
    <row r="119" spans="1:5" x14ac:dyDescent="0.4">
      <c r="A119" t="s">
        <v>114</v>
      </c>
      <c r="B119" t="str">
        <f t="shared" si="4"/>
        <v xml:space="preserve"> H-H_</v>
      </c>
      <c r="C119" t="str">
        <f t="shared" si="5"/>
        <v xml:space="preserve">-0.158528    </v>
      </c>
      <c r="D119" t="str">
        <f t="shared" si="6"/>
        <v>0   -4.30249280    0.52294240    8.89914260 L</v>
      </c>
      <c r="E119" t="str">
        <f t="shared" si="7"/>
        <v xml:space="preserve"> H-H_-0.158528    0   -4.30249280    0.52294240    8.89914260 L</v>
      </c>
    </row>
    <row r="120" spans="1:5" x14ac:dyDescent="0.4">
      <c r="A120" t="s">
        <v>115</v>
      </c>
      <c r="B120" t="str">
        <f t="shared" si="4"/>
        <v xml:space="preserve"> H-H_</v>
      </c>
      <c r="C120" t="str">
        <f t="shared" si="5"/>
        <v xml:space="preserve">-0.158528    </v>
      </c>
      <c r="D120" t="str">
        <f t="shared" si="6"/>
        <v>0   -2.60412790   -3.46459690    8.89914260 L</v>
      </c>
      <c r="E120" t="str">
        <f t="shared" si="7"/>
        <v xml:space="preserve"> H-H_-0.158528    0   -2.60412790   -3.46459690    8.89914260 L</v>
      </c>
    </row>
    <row r="121" spans="1:5" x14ac:dyDescent="0.4">
      <c r="A121" t="s">
        <v>116</v>
      </c>
      <c r="B121" t="str">
        <f t="shared" si="4"/>
        <v xml:space="preserve"> H-H_</v>
      </c>
      <c r="C121" t="str">
        <f t="shared" si="5"/>
        <v xml:space="preserve">-0.158528    </v>
      </c>
      <c r="D121" t="str">
        <f t="shared" si="6"/>
        <v>0    1.69836500   -3.98753930    8.89914260 L</v>
      </c>
      <c r="E121" t="str">
        <f t="shared" si="7"/>
        <v xml:space="preserve"> H-H_-0.158528    0    1.69836500   -3.98753930    8.89914260 L</v>
      </c>
    </row>
    <row r="122" spans="1:5" x14ac:dyDescent="0.4">
      <c r="A122" t="s">
        <v>117</v>
      </c>
      <c r="B122" t="str">
        <f t="shared" si="4"/>
        <v xml:space="preserve"> H-H_</v>
      </c>
      <c r="C122" t="str">
        <f t="shared" si="5"/>
        <v xml:space="preserve">-0.158528    </v>
      </c>
      <c r="D122" t="str">
        <f t="shared" si="6"/>
        <v>0    0.23212230    4.32793630   20.61500320 L</v>
      </c>
      <c r="E122" t="str">
        <f t="shared" si="7"/>
        <v xml:space="preserve"> H-H_-0.158528    0    0.23212230    4.32793630   20.61500320 L</v>
      </c>
    </row>
    <row r="123" spans="1:5" x14ac:dyDescent="0.4">
      <c r="A123" t="s">
        <v>118</v>
      </c>
      <c r="B123" t="str">
        <f t="shared" si="4"/>
        <v xml:space="preserve"> H-H_</v>
      </c>
      <c r="C123" t="str">
        <f t="shared" si="5"/>
        <v xml:space="preserve">-0.158528    </v>
      </c>
      <c r="D123" t="str">
        <f t="shared" si="6"/>
        <v>0   -3.63204170    2.36499190   20.61500320 L</v>
      </c>
      <c r="E123" t="str">
        <f t="shared" si="7"/>
        <v xml:space="preserve"> H-H_-0.158528    0   -3.63204170    2.36499190   20.61500320 L</v>
      </c>
    </row>
    <row r="124" spans="1:5" x14ac:dyDescent="0.4">
      <c r="A124" t="s">
        <v>119</v>
      </c>
      <c r="B124" t="str">
        <f t="shared" si="4"/>
        <v xml:space="preserve"> H-H_</v>
      </c>
      <c r="C124" t="str">
        <f t="shared" si="5"/>
        <v xml:space="preserve">-0.158528    </v>
      </c>
      <c r="D124" t="str">
        <f t="shared" si="6"/>
        <v>0   -3.86416390   -1.96294440   20.61500320 L</v>
      </c>
      <c r="E124" t="str">
        <f t="shared" si="7"/>
        <v xml:space="preserve"> H-H_-0.158528    0   -3.86416390   -1.96294440   20.61500320 L</v>
      </c>
    </row>
    <row r="125" spans="1:5" x14ac:dyDescent="0.4">
      <c r="A125" t="s">
        <v>120</v>
      </c>
      <c r="B125" t="str">
        <f t="shared" si="4"/>
        <v xml:space="preserve"> H-H_</v>
      </c>
      <c r="C125" t="str">
        <f t="shared" si="5"/>
        <v xml:space="preserve">-0.158528    </v>
      </c>
      <c r="D125" t="str">
        <f t="shared" si="6"/>
        <v>0   -0.23212230   -4.32793630   20.61500320 L</v>
      </c>
      <c r="E125" t="str">
        <f t="shared" si="7"/>
        <v xml:space="preserve"> H-H_-0.158528    0   -0.23212230   -4.32793630   20.61500320 L</v>
      </c>
    </row>
    <row r="126" spans="1:5" x14ac:dyDescent="0.4">
      <c r="A126" t="s">
        <v>121</v>
      </c>
      <c r="B126" t="str">
        <f t="shared" si="4"/>
        <v xml:space="preserve"> H-H_</v>
      </c>
      <c r="C126" t="str">
        <f t="shared" si="5"/>
        <v xml:space="preserve">-0.158528    </v>
      </c>
      <c r="D126" t="str">
        <f t="shared" si="6"/>
        <v>0    3.63204170   -2.36499190   20.61500320 L</v>
      </c>
      <c r="E126" t="str">
        <f t="shared" si="7"/>
        <v xml:space="preserve"> H-H_-0.158528    0    3.63204170   -2.36499190   20.61500320 L</v>
      </c>
    </row>
    <row r="127" spans="1:5" x14ac:dyDescent="0.4">
      <c r="A127" t="s">
        <v>133</v>
      </c>
      <c r="B127" t="str">
        <f t="shared" si="4"/>
        <v xml:space="preserve"> H-H_</v>
      </c>
      <c r="C127" t="str">
        <f t="shared" si="5"/>
        <v xml:space="preserve">-0.158528    </v>
      </c>
      <c r="D127" t="str">
        <f t="shared" si="6"/>
        <v>0    4.30249280   -0.52294240   20.61500320 L</v>
      </c>
      <c r="E127" t="str">
        <f t="shared" si="7"/>
        <v xml:space="preserve"> H-H_-0.158528    0    4.30249280   -0.52294240   20.61500320 L</v>
      </c>
    </row>
    <row r="128" spans="1:5" x14ac:dyDescent="0.4">
      <c r="A128" t="s">
        <v>122</v>
      </c>
      <c r="B128" t="str">
        <f t="shared" si="4"/>
        <v xml:space="preserve"> H-H_</v>
      </c>
      <c r="C128" t="str">
        <f t="shared" si="5"/>
        <v xml:space="preserve">-0.158528    </v>
      </c>
      <c r="D128" t="str">
        <f t="shared" si="6"/>
        <v>0    3.86416390    1.96294440   20.61500320 L</v>
      </c>
      <c r="E128" t="str">
        <f t="shared" si="7"/>
        <v xml:space="preserve"> H-H_-0.158528    0    3.86416390    1.96294440   20.61500320 L</v>
      </c>
    </row>
    <row r="129" spans="1:5" x14ac:dyDescent="0.4">
      <c r="A129" t="s">
        <v>123</v>
      </c>
      <c r="B129" t="str">
        <f t="shared" si="4"/>
        <v xml:space="preserve"> H-H_</v>
      </c>
      <c r="C129" t="str">
        <f t="shared" si="5"/>
        <v xml:space="preserve">-0.158528    </v>
      </c>
      <c r="D129" t="str">
        <f t="shared" si="6"/>
        <v>0    2.60412790    3.46459690   20.61500320 L</v>
      </c>
      <c r="E129" t="str">
        <f t="shared" si="7"/>
        <v xml:space="preserve"> H-H_-0.158528    0    2.60412790    3.46459690   20.61500320 L</v>
      </c>
    </row>
    <row r="130" spans="1:5" x14ac:dyDescent="0.4">
      <c r="A130" t="s">
        <v>124</v>
      </c>
      <c r="B130" t="str">
        <f t="shared" si="4"/>
        <v xml:space="preserve"> H-H_</v>
      </c>
      <c r="C130" t="str">
        <f t="shared" si="5"/>
        <v xml:space="preserve">-0.158528    </v>
      </c>
      <c r="D130" t="str">
        <f t="shared" si="6"/>
        <v>0   -1.69836500    3.98753930   20.61500320 L</v>
      </c>
      <c r="E130" t="str">
        <f t="shared" si="7"/>
        <v xml:space="preserve"> H-H_-0.158528    0   -1.69836500    3.98753930   20.61500320 L</v>
      </c>
    </row>
    <row r="131" spans="1:5" x14ac:dyDescent="0.4">
      <c r="A131" t="s">
        <v>125</v>
      </c>
      <c r="B131" t="str">
        <f t="shared" ref="B131:B135" si="8">LEFT(A131, MIN(IFERROR(FIND("-0.", A131), 999), IFERROR(FIND(" 0", A131), 999)) - 1)</f>
        <v xml:space="preserve"> H-H_</v>
      </c>
      <c r="C131" t="str">
        <f t="shared" ref="C131:C135" si="9">MID(A131, LEN(B131) + 1, FIND(" 0 ", A131) - LEN(B131))</f>
        <v xml:space="preserve">-0.158528    </v>
      </c>
      <c r="D131" t="str">
        <f t="shared" ref="D131:D135" si="10">MID(A131, FIND(" 0 ", A131) + 1, LEN(A131))</f>
        <v>0   -4.30249280    0.52294240   20.61500320 L</v>
      </c>
      <c r="E131" t="str">
        <f t="shared" ref="E131:E135" si="11">B131&amp;C131&amp;D131</f>
        <v xml:space="preserve"> H-H_-0.158528    0   -4.30249280    0.52294240   20.61500320 L</v>
      </c>
    </row>
    <row r="132" spans="1:5" x14ac:dyDescent="0.4">
      <c r="A132" t="s">
        <v>126</v>
      </c>
      <c r="B132" t="str">
        <f t="shared" si="8"/>
        <v xml:space="preserve"> H-H_</v>
      </c>
      <c r="C132" t="str">
        <f t="shared" si="9"/>
        <v xml:space="preserve">-0.158528    </v>
      </c>
      <c r="D132" t="str">
        <f t="shared" si="10"/>
        <v>0   -2.60412790   -3.46459690   20.61500320 L</v>
      </c>
      <c r="E132" t="str">
        <f t="shared" si="11"/>
        <v xml:space="preserve"> H-H_-0.158528    0   -2.60412790   -3.46459690   20.61500320 L</v>
      </c>
    </row>
    <row r="133" spans="1:5" x14ac:dyDescent="0.4">
      <c r="A133" t="s">
        <v>127</v>
      </c>
      <c r="B133" t="str">
        <f t="shared" si="8"/>
        <v xml:space="preserve"> H-H_</v>
      </c>
      <c r="C133" t="str">
        <f t="shared" si="9"/>
        <v xml:space="preserve">-0.158528    </v>
      </c>
      <c r="D133" t="str">
        <f t="shared" si="10"/>
        <v>0    1.69836500   -3.98753930   20.61500320 L</v>
      </c>
      <c r="E133" t="str">
        <f t="shared" si="11"/>
        <v xml:space="preserve"> H-H_-0.158528    0    1.69836500   -3.98753930   20.61500320 L</v>
      </c>
    </row>
    <row r="134" spans="1:5" x14ac:dyDescent="0.4">
      <c r="A134" t="s">
        <v>128</v>
      </c>
      <c r="B134" t="str">
        <f t="shared" si="8"/>
        <v xml:space="preserve"> H-H_            </v>
      </c>
      <c r="C134" t="str">
        <f t="shared" si="9"/>
        <v xml:space="preserve"> </v>
      </c>
      <c r="D134" t="str">
        <f t="shared" si="10"/>
        <v>0   -5.03400020    3.52299160   17.21658500 H</v>
      </c>
      <c r="E134" t="str">
        <f t="shared" si="11"/>
        <v xml:space="preserve"> H-H_             0   -5.03400020    3.52299160   17.21658500 H</v>
      </c>
    </row>
    <row r="135" spans="1:5" x14ac:dyDescent="0.4">
      <c r="A135" t="s">
        <v>129</v>
      </c>
      <c r="B135" t="str">
        <f t="shared" si="8"/>
        <v xml:space="preserve"> H-H_            </v>
      </c>
      <c r="C135" t="str">
        <f t="shared" si="9"/>
        <v xml:space="preserve"> </v>
      </c>
      <c r="D135" t="str">
        <f t="shared" si="10"/>
        <v>0   -5.77400020    3.52299160   17.21658500 H</v>
      </c>
      <c r="E135" t="str">
        <f t="shared" si="11"/>
        <v xml:space="preserve"> H-H_             0   -5.77400020    3.52299160   17.21658500 H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8E368-2604-4233-9F0D-7E3B65D76C5E}">
  <dimension ref="A1"/>
  <sheetViews>
    <sheetView tabSelected="1"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田重华</dc:creator>
  <cp:lastModifiedBy>Zhonghua Tian</cp:lastModifiedBy>
  <dcterms:created xsi:type="dcterms:W3CDTF">2015-06-05T18:19:34Z</dcterms:created>
  <dcterms:modified xsi:type="dcterms:W3CDTF">2026-05-23T17:27:42Z</dcterms:modified>
</cp:coreProperties>
</file>